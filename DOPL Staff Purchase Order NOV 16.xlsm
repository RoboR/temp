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7428" yWindow="-252" windowWidth="14496" windowHeight="8172"/>
  </bookViews>
  <sheets>
    <sheet name="PO Form" sheetId="1" r:id="rId1"/>
  </sheets>
  <definedNames>
    <definedName name="_xlnm.Print_Area" localSheetId="0">'PO Form'!$B$1:$M$68</definedName>
  </definedNames>
  <calcPr calcId="145621"/>
</workbook>
</file>

<file path=xl/calcChain.xml><?xml version="1.0" encoding="utf-8"?>
<calcChain xmlns="http://schemas.openxmlformats.org/spreadsheetml/2006/main">
  <c r="L63" i="1" l="1"/>
  <c r="L62" i="1"/>
  <c r="L60" i="1"/>
  <c r="L59" i="1"/>
  <c r="J57" i="1"/>
  <c r="L57" i="1" s="1"/>
  <c r="L34" i="1"/>
  <c r="M34" i="1" s="1"/>
  <c r="K65" i="1" l="1"/>
  <c r="J64" i="1"/>
  <c r="L64" i="1" s="1"/>
  <c r="J61" i="1"/>
  <c r="L61" i="1" s="1"/>
  <c r="J58" i="1"/>
  <c r="L58" i="1" s="1"/>
  <c r="J56" i="1"/>
  <c r="L56" i="1" s="1"/>
  <c r="J55" i="1"/>
  <c r="L55" i="1" s="1"/>
  <c r="J54" i="1"/>
  <c r="L54" i="1" s="1"/>
  <c r="M54" i="1" s="1"/>
  <c r="J53" i="1"/>
  <c r="L53" i="1" s="1"/>
  <c r="M53" i="1" s="1"/>
  <c r="J52" i="1"/>
  <c r="L52" i="1" s="1"/>
  <c r="M52" i="1" s="1"/>
  <c r="J51" i="1"/>
  <c r="L51" i="1" s="1"/>
  <c r="M51" i="1" s="1"/>
  <c r="J50" i="1"/>
  <c r="L50" i="1" s="1"/>
  <c r="M50" i="1" s="1"/>
  <c r="J49" i="1"/>
  <c r="L49" i="1" s="1"/>
  <c r="M49" i="1" s="1"/>
  <c r="J48" i="1"/>
  <c r="L48" i="1" s="1"/>
  <c r="M48" i="1" s="1"/>
  <c r="J47" i="1"/>
  <c r="L47" i="1" s="1"/>
  <c r="M47" i="1" s="1"/>
  <c r="J46" i="1"/>
  <c r="L46" i="1" s="1"/>
  <c r="M46" i="1" s="1"/>
  <c r="J45" i="1"/>
  <c r="L45" i="1" s="1"/>
  <c r="M45" i="1" s="1"/>
  <c r="J44" i="1"/>
  <c r="L44" i="1" s="1"/>
  <c r="M44" i="1" s="1"/>
  <c r="J43" i="1"/>
  <c r="L43" i="1" s="1"/>
  <c r="J42" i="1"/>
  <c r="L42" i="1" s="1"/>
  <c r="J41" i="1"/>
  <c r="L41" i="1" s="1"/>
  <c r="J40" i="1"/>
  <c r="L40" i="1" s="1"/>
  <c r="J39" i="1"/>
  <c r="L39" i="1" s="1"/>
  <c r="J31" i="1"/>
  <c r="L31" i="1" s="1"/>
  <c r="M31" i="1" s="1"/>
  <c r="L32" i="1"/>
  <c r="M32" i="1" s="1"/>
  <c r="J30" i="1"/>
  <c r="L30" i="1" s="1"/>
  <c r="M30" i="1" s="1"/>
  <c r="J29" i="1"/>
  <c r="L29" i="1" s="1"/>
  <c r="M29" i="1" s="1"/>
  <c r="J28" i="1"/>
  <c r="L28" i="1" s="1"/>
  <c r="M28" i="1" s="1"/>
  <c r="J27" i="1"/>
  <c r="L27" i="1" s="1"/>
  <c r="M27" i="1" s="1"/>
  <c r="J26" i="1"/>
  <c r="L26" i="1" s="1"/>
  <c r="M26" i="1" s="1"/>
  <c r="L25" i="1"/>
  <c r="M25" i="1" s="1"/>
  <c r="L24" i="1" l="1"/>
  <c r="M24" i="1" s="1"/>
  <c r="L23" i="1"/>
  <c r="M23" i="1" s="1"/>
  <c r="L22" i="1"/>
  <c r="L37" i="1" l="1"/>
  <c r="M37" i="1" s="1"/>
  <c r="L35" i="1"/>
  <c r="M35" i="1" s="1"/>
  <c r="L21" i="1"/>
  <c r="L33" i="1" l="1"/>
  <c r="M33" i="1" s="1"/>
  <c r="L38" i="1" l="1"/>
  <c r="M38" i="1" s="1"/>
  <c r="L36" i="1" l="1"/>
  <c r="M36" i="1" s="1"/>
  <c r="M65" i="1" s="1"/>
  <c r="L65" i="1" l="1"/>
</calcChain>
</file>

<file path=xl/comments1.xml><?xml version="1.0" encoding="utf-8"?>
<comments xmlns="http://schemas.openxmlformats.org/spreadsheetml/2006/main">
  <authors>
    <author>Siti Bte Ahmad</author>
  </authors>
  <commentList>
    <comment ref="K12" authorId="0">
      <text>
        <r>
          <rPr>
            <b/>
            <sz val="9"/>
            <color indexed="81"/>
            <rFont val="Tahoma"/>
            <family val="2"/>
          </rPr>
          <t>POSB XXXXX
HSBC XXXXX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<sst xmlns="http://schemas.openxmlformats.org/spreadsheetml/2006/main" count="168" uniqueCount="128">
  <si>
    <t>DELIVERY ADDRESS :</t>
  </si>
  <si>
    <t>DESCRIPTION</t>
  </si>
  <si>
    <t>UNIV.</t>
  </si>
  <si>
    <t xml:space="preserve">STUBBORN DIRT BRUSH                                                                                        </t>
  </si>
  <si>
    <t>NOTE :</t>
  </si>
  <si>
    <t>PAYMENT TO BE MADE TOGETHER WITH ORDER SUBMISSION.</t>
  </si>
  <si>
    <t>THIS PROGRAM CANNOT BE COMBINED WITH ANY EXISTING DYSON SINGAPORE  RETAIL PROMOTIONAL OFFERS.</t>
  </si>
  <si>
    <t>QUANTITY</t>
  </si>
  <si>
    <t xml:space="preserve">AMOUNT </t>
  </si>
  <si>
    <t>Nett Price w GST
( less 50% )</t>
  </si>
  <si>
    <t>Retail Price 
w GST</t>
  </si>
  <si>
    <t>921000-01</t>
  </si>
  <si>
    <t>GROOM TOOL</t>
  </si>
  <si>
    <t xml:space="preserve">PERIOD OF OFFER : </t>
  </si>
  <si>
    <t>To :  DYSON SINGAPORE PTE LTD</t>
  </si>
  <si>
    <t>CYLINDER</t>
  </si>
  <si>
    <t>DC 36</t>
  </si>
  <si>
    <t>204951-01</t>
  </si>
  <si>
    <t>RETAIL (918507-04)</t>
  </si>
  <si>
    <t>PURCHASE ORDER - DYSON OPERATION STAFF</t>
  </si>
  <si>
    <t>MOTORHEAD COMPLETE</t>
  </si>
  <si>
    <t>EACH STAFF IS ENTITLED TO BUY 8 MACHINES (VACCUM &amp; FAN) PER YEAR.</t>
  </si>
  <si>
    <t>NAME</t>
  </si>
  <si>
    <t>DEPARTMENT</t>
  </si>
  <si>
    <t>Tax Benefit</t>
  </si>
  <si>
    <t>Not Taxable</t>
  </si>
  <si>
    <t>OPTIONS</t>
  </si>
  <si>
    <t>DC 52</t>
  </si>
  <si>
    <t>65031-01</t>
  </si>
  <si>
    <t>MULTI FLOOR (comes with Hard Floor Tool MO)</t>
  </si>
  <si>
    <t>TANGLE FREE TURBINE TOOL</t>
  </si>
  <si>
    <t>RETAIL(925067-01)</t>
  </si>
  <si>
    <t>209545-01</t>
  </si>
  <si>
    <t>DC 63</t>
  </si>
  <si>
    <t>TURBINEHEAD PRO</t>
  </si>
  <si>
    <t>203997-01</t>
  </si>
  <si>
    <t>HH</t>
  </si>
  <si>
    <t>25454-01</t>
  </si>
  <si>
    <t>TURBINEHEAD</t>
  </si>
  <si>
    <t>203996-01</t>
  </si>
  <si>
    <t>AM</t>
  </si>
  <si>
    <t>DC 61</t>
  </si>
  <si>
    <t>201772-01</t>
  </si>
  <si>
    <t>HH08</t>
  </si>
  <si>
    <t>MATTRESS</t>
  </si>
  <si>
    <t>209438-01</t>
  </si>
  <si>
    <t>DC 62</t>
  </si>
  <si>
    <t>V6</t>
  </si>
  <si>
    <t>209469-01</t>
  </si>
  <si>
    <t>201771-01</t>
  </si>
  <si>
    <t>SV07</t>
  </si>
  <si>
    <t>DC 38</t>
  </si>
  <si>
    <t>23766-01</t>
  </si>
  <si>
    <t xml:space="preserve">DC 47 </t>
  </si>
  <si>
    <t>AM06</t>
  </si>
  <si>
    <t>12" BLACK/NICKEL</t>
  </si>
  <si>
    <t>301198-01</t>
  </si>
  <si>
    <t>AM07</t>
  </si>
  <si>
    <t>TOWER FAN IRON/BLUE</t>
  </si>
  <si>
    <t>301214-01</t>
  </si>
  <si>
    <t>TOWER FAN BLACK/NICKEL</t>
  </si>
  <si>
    <t>301215-01</t>
  </si>
  <si>
    <t>AM08</t>
  </si>
  <si>
    <t>STAND FAN WHITE/SILVER</t>
  </si>
  <si>
    <t>301228-01</t>
  </si>
  <si>
    <t>STAND FAN IRON/BLUE</t>
  </si>
  <si>
    <t>301229-01</t>
  </si>
  <si>
    <t>TP02</t>
  </si>
  <si>
    <t>305156-01</t>
  </si>
  <si>
    <t>305157-01</t>
  </si>
  <si>
    <t>Handhelds</t>
  </si>
  <si>
    <t xml:space="preserve">TOOL KIT </t>
  </si>
  <si>
    <t>RETAIL (919648-02)</t>
  </si>
  <si>
    <t>SV09</t>
  </si>
  <si>
    <t>FLUFFY BLUE</t>
  </si>
  <si>
    <t>209570-01</t>
  </si>
  <si>
    <t>FLUFFY RED</t>
  </si>
  <si>
    <t>217037-01</t>
  </si>
  <si>
    <t>SV10</t>
  </si>
  <si>
    <t>MOTORHEAD</t>
  </si>
  <si>
    <t>216173-01</t>
  </si>
  <si>
    <t>FLUFFY</t>
  </si>
  <si>
    <t>164544-01</t>
  </si>
  <si>
    <t>ABSOLUTE</t>
  </si>
  <si>
    <t>164543-01</t>
  </si>
  <si>
    <t>DC 28C</t>
  </si>
  <si>
    <t>MULTI FLOOR</t>
  </si>
  <si>
    <t>64985-01</t>
  </si>
  <si>
    <t>10" WHITE/SILVER</t>
  </si>
  <si>
    <t>301187-01</t>
  </si>
  <si>
    <t>10" IRON/BLUE</t>
  </si>
  <si>
    <t>301188-01</t>
  </si>
  <si>
    <t>12" WHITE/SILVER</t>
  </si>
  <si>
    <t>301197-01</t>
  </si>
  <si>
    <t>12" IRON/BLUE</t>
  </si>
  <si>
    <t>301628-01</t>
  </si>
  <si>
    <t>TOWER FAN WHITE/SILVER</t>
  </si>
  <si>
    <t>301213-01</t>
  </si>
  <si>
    <t>TOWER PURE COOL LINK WHITE/SILVER</t>
  </si>
  <si>
    <t>TOWER PURE COOL LINK IRON/BLUE</t>
  </si>
  <si>
    <t>DP01</t>
  </si>
  <si>
    <t>DESK PURE COOL LINK WHITE/SILVER</t>
  </si>
  <si>
    <t>305208-01</t>
  </si>
  <si>
    <t>DESK PURE COOL LINK IRON/BLUE</t>
  </si>
  <si>
    <t>305209-01</t>
  </si>
  <si>
    <t>HAIRCARE</t>
  </si>
  <si>
    <t>HD01</t>
  </si>
  <si>
    <t>SUPERSONIC IRON/FUCHSIA</t>
  </si>
  <si>
    <t>307346-01</t>
  </si>
  <si>
    <t>SUPERSONIC WHITE/SILVER</t>
  </si>
  <si>
    <t>307347-01</t>
  </si>
  <si>
    <t>CY 22</t>
  </si>
  <si>
    <t>Dyson Cinetic Big Ball Animal</t>
  </si>
  <si>
    <t>214207-01</t>
  </si>
  <si>
    <t xml:space="preserve">SOFT DUSTING BRUSH </t>
  </si>
  <si>
    <t>RETAIL (908877-09)</t>
  </si>
  <si>
    <t xml:space="preserve">FLEXI CREVICE TOOL </t>
  </si>
  <si>
    <t>908032-09</t>
  </si>
  <si>
    <t>ALLERGY KIT: mattress tool, soft dusting brush, flexi-crevice tool</t>
  </si>
  <si>
    <t xml:space="preserve">Retail (916130-08) </t>
  </si>
  <si>
    <t>DYSON REPLACEMENT FILTER BLACK BOX</t>
  </si>
  <si>
    <t>967302-17</t>
  </si>
  <si>
    <t>DYSON REPLACEMENT FILTER BLACK BOX WHITE/SILVER</t>
  </si>
  <si>
    <t>967089-23</t>
  </si>
  <si>
    <t>DYSON REPLACEMENT FILTER BLACK BOX IRON/BLUE</t>
  </si>
  <si>
    <t>967089-24</t>
  </si>
  <si>
    <t>CHEQUE or REF NO.</t>
  </si>
  <si>
    <t>Please Select Your Collection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</si>
</sst>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£&quot;#,##0;\-&quot;£&quot;#,##0"/>
    <numFmt numFmtId="165" formatCode="_-&quot;£&quot;* #,##0.00_-;\-&quot;£&quot;* #,##0.00_-;_-&quot;£&quot;* &quot;-&quot;??_-;_-@_-"/>
    <numFmt numFmtId="166" formatCode="General_)"/>
    <numFmt numFmtId="167" formatCode="&quot;$&quot;#,##0.00"/>
  </numFmts>
  <fonts count="36" x14ac:knownFonts="1">
    <font>
      <sz val="11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8"/>
      <name val="Arial"/>
      <family val="2"/>
    </font>
    <font>
      <b/>
      <sz val="20"/>
      <name val="Futura Lt BT"/>
      <family val="2"/>
    </font>
    <font>
      <b/>
      <sz val="11"/>
      <name val="Futura Lt BT"/>
      <family val="2"/>
    </font>
    <font>
      <sz val="11"/>
      <name val="Futura Lt BT"/>
      <family val="2"/>
    </font>
    <font>
      <sz val="10"/>
      <name val="Futura Lt BT"/>
      <family val="2"/>
    </font>
    <font>
      <sz val="10"/>
      <color indexed="8"/>
      <name val="Futura Lt BT"/>
      <family val="2"/>
    </font>
    <font>
      <b/>
      <sz val="10"/>
      <name val="Futura Lt BT"/>
      <family val="2"/>
    </font>
    <font>
      <b/>
      <sz val="24"/>
      <name val="Futura Lt BT"/>
      <family val="2"/>
    </font>
    <font>
      <b/>
      <sz val="12"/>
      <name val="Futura Lt BT"/>
      <family val="2"/>
    </font>
    <font>
      <sz val="12"/>
      <name val="Futura Lt BT"/>
      <family val="2"/>
    </font>
    <font>
      <b/>
      <sz val="12"/>
      <color indexed="12"/>
      <name val="Futura Lt BT"/>
      <family val="2"/>
    </font>
    <font>
      <b/>
      <sz val="12"/>
      <color indexed="10"/>
      <name val="Futura Lt BT"/>
      <family val="2"/>
    </font>
    <font>
      <sz val="12"/>
      <color indexed="10"/>
      <name val="Futura Lt BT"/>
      <family val="2"/>
    </font>
    <font>
      <b/>
      <sz val="12"/>
      <color indexed="8"/>
      <name val="Futura Lt BT"/>
      <family val="2"/>
    </font>
    <font>
      <b/>
      <sz val="10"/>
      <color indexed="8"/>
      <name val="Futura Lt BT"/>
      <family val="2"/>
    </font>
    <font>
      <b/>
      <sz val="10"/>
      <color indexed="9"/>
      <name val="Futura Lt BT"/>
      <family val="2"/>
    </font>
    <font>
      <sz val="11"/>
      <color theme="1"/>
      <name val="Futura Lt BT"/>
      <family val="2"/>
    </font>
    <font>
      <sz val="22"/>
      <name val="Futura Lt BT"/>
      <family val="2"/>
    </font>
    <font>
      <b/>
      <sz val="26"/>
      <name val="Futura Lt BT"/>
      <family val="2"/>
    </font>
    <font>
      <sz val="24"/>
      <color indexed="10"/>
      <name val="Futura Lt BT"/>
      <family val="2"/>
    </font>
    <font>
      <sz val="24"/>
      <name val="Futura Lt BT"/>
      <family val="2"/>
    </font>
    <font>
      <b/>
      <sz val="24"/>
      <color indexed="8"/>
      <name val="Futura Lt BT"/>
      <family val="2"/>
    </font>
    <font>
      <b/>
      <sz val="24"/>
      <color indexed="12"/>
      <name val="Futura Lt BT"/>
      <family val="2"/>
    </font>
    <font>
      <sz val="24"/>
      <color indexed="8"/>
      <name val="Futura Lt BT"/>
      <family val="2"/>
    </font>
    <font>
      <b/>
      <sz val="16"/>
      <name val="Futura Lt BT"/>
      <family val="2"/>
    </font>
    <font>
      <b/>
      <sz val="16"/>
      <color indexed="8"/>
      <name val="Futura Lt BT"/>
      <family val="2"/>
    </font>
    <font>
      <sz val="14"/>
      <color rgb="FF000000"/>
      <name val="Calibri"/>
      <family val="2"/>
    </font>
    <font>
      <b/>
      <sz val="18"/>
      <name val="Futura Lt BT"/>
      <family val="2"/>
    </font>
    <font>
      <b/>
      <sz val="22"/>
      <name val="Futura Lt BT"/>
      <family val="2"/>
    </font>
    <font>
      <b/>
      <sz val="36"/>
      <color rgb="FFFF0000"/>
      <name val="Futura Lt B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C0C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</cellStyleXfs>
  <cellXfs count="171">
    <xf numFmtId="0" fontId="0" fillId="0" borderId="0" xfId="0"/>
    <xf numFmtId="0" fontId="6" fillId="0" borderId="0" xfId="4" applyFont="1" applyFill="1" applyAlignment="1">
      <alignment horizontal="center" vertical="center"/>
    </xf>
    <xf numFmtId="0" fontId="7" fillId="0" borderId="0" xfId="4" applyFont="1"/>
    <xf numFmtId="0" fontId="8" fillId="0" borderId="0" xfId="4" applyFont="1"/>
    <xf numFmtId="0" fontId="9" fillId="0" borderId="0" xfId="0" applyFont="1"/>
    <xf numFmtId="0" fontId="10" fillId="0" borderId="0" xfId="4" applyFont="1" applyFill="1" applyAlignment="1">
      <alignment horizontal="center" vertical="center"/>
    </xf>
    <xf numFmtId="0" fontId="10" fillId="0" borderId="0" xfId="4" applyFont="1" applyFill="1" applyAlignment="1">
      <alignment vertical="center"/>
    </xf>
    <xf numFmtId="0" fontId="11" fillId="0" borderId="0" xfId="4" applyFont="1" applyFill="1" applyAlignment="1">
      <alignment horizontal="left" vertical="center"/>
    </xf>
    <xf numFmtId="0" fontId="6" fillId="0" borderId="0" xfId="4" applyFont="1" applyFill="1" applyAlignment="1">
      <alignment vertical="center"/>
    </xf>
    <xf numFmtId="0" fontId="12" fillId="0" borderId="0" xfId="4" applyFont="1" applyFill="1" applyBorder="1" applyAlignment="1">
      <alignment vertical="center"/>
    </xf>
    <xf numFmtId="0" fontId="12" fillId="0" borderId="0" xfId="4" applyFont="1" applyFill="1" applyBorder="1" applyAlignment="1">
      <alignment horizontal="left" vertical="center"/>
    </xf>
    <xf numFmtId="0" fontId="12" fillId="0" borderId="0" xfId="4" applyFont="1" applyFill="1" applyBorder="1" applyAlignment="1">
      <alignment horizontal="center" vertical="center"/>
    </xf>
    <xf numFmtId="0" fontId="12" fillId="0" borderId="0" xfId="4" applyFont="1" applyFill="1" applyAlignment="1">
      <alignment vertical="center"/>
    </xf>
    <xf numFmtId="0" fontId="13" fillId="0" borderId="0" xfId="4" applyFont="1" applyFill="1" applyBorder="1" applyAlignment="1">
      <alignment vertical="center"/>
    </xf>
    <xf numFmtId="0" fontId="13" fillId="0" borderId="0" xfId="4" applyFont="1" applyFill="1" applyBorder="1" applyAlignment="1">
      <alignment horizontal="left" vertical="center"/>
    </xf>
    <xf numFmtId="0" fontId="12" fillId="0" borderId="16" xfId="4" applyFont="1" applyFill="1" applyBorder="1" applyAlignment="1">
      <alignment horizontal="center" vertical="center"/>
    </xf>
    <xf numFmtId="0" fontId="14" fillId="0" borderId="3" xfId="4" applyFont="1" applyBorder="1" applyAlignment="1">
      <alignment vertical="center"/>
    </xf>
    <xf numFmtId="0" fontId="13" fillId="0" borderId="0" xfId="4" applyFont="1" applyFill="1" applyBorder="1" applyAlignment="1">
      <alignment horizontal="center" vertical="center"/>
    </xf>
    <xf numFmtId="0" fontId="15" fillId="0" borderId="0" xfId="0" applyFont="1"/>
    <xf numFmtId="0" fontId="16" fillId="0" borderId="0" xfId="4" applyFont="1"/>
    <xf numFmtId="0" fontId="13" fillId="0" borderId="0" xfId="4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 applyBorder="1" applyAlignment="1">
      <alignment horizontal="left" vertical="center"/>
    </xf>
    <xf numFmtId="0" fontId="17" fillId="0" borderId="0" xfId="4" applyFont="1" applyBorder="1" applyAlignment="1">
      <alignment horizontal="left" vertical="center"/>
    </xf>
    <xf numFmtId="0" fontId="17" fillId="0" borderId="0" xfId="4" applyFont="1" applyBorder="1" applyAlignment="1">
      <alignment vertical="center"/>
    </xf>
    <xf numFmtId="0" fontId="17" fillId="0" borderId="0" xfId="4" applyFont="1" applyBorder="1" applyAlignment="1">
      <alignment horizontal="center" vertical="center"/>
    </xf>
    <xf numFmtId="0" fontId="17" fillId="0" borderId="0" xfId="0" applyFont="1"/>
    <xf numFmtId="0" fontId="14" fillId="0" borderId="0" xfId="4" applyFont="1" applyBorder="1" applyAlignment="1">
      <alignment horizontal="left" vertical="center"/>
    </xf>
    <xf numFmtId="0" fontId="14" fillId="0" borderId="0" xfId="4" applyFont="1" applyBorder="1" applyAlignment="1">
      <alignment vertical="center"/>
    </xf>
    <xf numFmtId="0" fontId="14" fillId="0" borderId="0" xfId="4" applyFont="1" applyBorder="1" applyAlignment="1">
      <alignment horizontal="center" vertical="center"/>
    </xf>
    <xf numFmtId="0" fontId="10" fillId="0" borderId="0" xfId="4" applyFont="1" applyBorder="1" applyAlignment="1">
      <alignment vertical="center"/>
    </xf>
    <xf numFmtId="0" fontId="10" fillId="0" borderId="0" xfId="4" applyFont="1" applyAlignment="1">
      <alignment vertical="center"/>
    </xf>
    <xf numFmtId="0" fontId="12" fillId="0" borderId="38" xfId="2" applyFont="1" applyBorder="1" applyAlignment="1">
      <alignment horizontal="center" vertical="center"/>
    </xf>
    <xf numFmtId="0" fontId="12" fillId="0" borderId="8" xfId="2" applyFont="1" applyBorder="1" applyAlignment="1">
      <alignment horizontal="center" vertical="center"/>
    </xf>
    <xf numFmtId="0" fontId="12" fillId="0" borderId="2" xfId="2" applyFont="1" applyBorder="1" applyAlignment="1">
      <alignment vertical="center"/>
    </xf>
    <xf numFmtId="0" fontId="12" fillId="0" borderId="2" xfId="2" applyFont="1" applyBorder="1" applyAlignment="1">
      <alignment horizontal="right" vertical="center"/>
    </xf>
    <xf numFmtId="0" fontId="12" fillId="0" borderId="23" xfId="4" applyFont="1" applyBorder="1" applyAlignment="1">
      <alignment vertical="center"/>
    </xf>
    <xf numFmtId="2" fontId="12" fillId="0" borderId="9" xfId="3" applyNumberFormat="1" applyFont="1" applyBorder="1" applyAlignment="1">
      <alignment horizontal="center" vertical="center"/>
    </xf>
    <xf numFmtId="167" fontId="12" fillId="0" borderId="31" xfId="3" applyNumberFormat="1" applyFont="1" applyFill="1" applyBorder="1" applyAlignment="1">
      <alignment horizontal="center" vertical="center"/>
    </xf>
    <xf numFmtId="2" fontId="12" fillId="0" borderId="23" xfId="3" applyNumberFormat="1" applyFont="1" applyFill="1" applyBorder="1" applyAlignment="1">
      <alignment horizontal="center" vertical="center"/>
    </xf>
    <xf numFmtId="2" fontId="12" fillId="0" borderId="9" xfId="3" applyNumberFormat="1" applyFont="1" applyFill="1" applyBorder="1" applyAlignment="1">
      <alignment horizontal="center" vertical="center"/>
    </xf>
    <xf numFmtId="0" fontId="12" fillId="0" borderId="33" xfId="2" applyFont="1" applyBorder="1" applyAlignment="1">
      <alignment horizontal="center" vertical="center"/>
    </xf>
    <xf numFmtId="0" fontId="12" fillId="0" borderId="4" xfId="2" applyFont="1" applyBorder="1" applyAlignment="1">
      <alignment vertical="center"/>
    </xf>
    <xf numFmtId="0" fontId="12" fillId="0" borderId="4" xfId="2" applyFont="1" applyBorder="1" applyAlignment="1">
      <alignment horizontal="right" vertical="center"/>
    </xf>
    <xf numFmtId="0" fontId="12" fillId="0" borderId="24" xfId="4" applyFont="1" applyBorder="1" applyAlignment="1">
      <alignment vertical="center"/>
    </xf>
    <xf numFmtId="2" fontId="12" fillId="0" borderId="24" xfId="3" applyNumberFormat="1" applyFont="1" applyFill="1" applyBorder="1" applyAlignment="1">
      <alignment horizontal="center" vertical="center"/>
    </xf>
    <xf numFmtId="2" fontId="12" fillId="0" borderId="11" xfId="3" applyNumberFormat="1" applyFont="1" applyFill="1" applyBorder="1" applyAlignment="1">
      <alignment horizontal="center" vertical="center"/>
    </xf>
    <xf numFmtId="167" fontId="12" fillId="0" borderId="30" xfId="3" applyNumberFormat="1" applyFont="1" applyFill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2" fillId="0" borderId="7" xfId="2" applyFont="1" applyBorder="1" applyAlignment="1">
      <alignment vertical="center"/>
    </xf>
    <xf numFmtId="0" fontId="12" fillId="0" borderId="7" xfId="2" applyFont="1" applyBorder="1" applyAlignment="1">
      <alignment horizontal="right" vertical="center"/>
    </xf>
    <xf numFmtId="0" fontId="12" fillId="0" borderId="12" xfId="4" applyFont="1" applyBorder="1" applyAlignment="1">
      <alignment vertical="center"/>
    </xf>
    <xf numFmtId="2" fontId="12" fillId="0" borderId="12" xfId="3" applyNumberFormat="1" applyFont="1" applyFill="1" applyBorder="1" applyAlignment="1">
      <alignment horizontal="center" vertical="center"/>
    </xf>
    <xf numFmtId="2" fontId="12" fillId="0" borderId="13" xfId="3" applyNumberFormat="1" applyFont="1" applyFill="1" applyBorder="1" applyAlignment="1">
      <alignment horizontal="center" vertical="center"/>
    </xf>
    <xf numFmtId="0" fontId="12" fillId="0" borderId="29" xfId="2" applyFont="1" applyBorder="1" applyAlignment="1">
      <alignment horizontal="center" vertical="center"/>
    </xf>
    <xf numFmtId="0" fontId="12" fillId="0" borderId="1" xfId="2" applyFont="1" applyBorder="1" applyAlignment="1">
      <alignment vertical="center"/>
    </xf>
    <xf numFmtId="0" fontId="12" fillId="0" borderId="1" xfId="2" applyFont="1" applyBorder="1" applyAlignment="1">
      <alignment horizontal="right" vertical="center"/>
    </xf>
    <xf numFmtId="0" fontId="12" fillId="0" borderId="26" xfId="4" applyFont="1" applyBorder="1" applyAlignment="1">
      <alignment vertical="center"/>
    </xf>
    <xf numFmtId="2" fontId="12" fillId="0" borderId="26" xfId="3" applyNumberFormat="1" applyFont="1" applyFill="1" applyBorder="1" applyAlignment="1">
      <alignment horizontal="center" vertical="center"/>
    </xf>
    <xf numFmtId="2" fontId="12" fillId="0" borderId="27" xfId="3" applyNumberFormat="1" applyFont="1" applyFill="1" applyBorder="1" applyAlignment="1">
      <alignment horizontal="center" vertical="center"/>
    </xf>
    <xf numFmtId="167" fontId="12" fillId="0" borderId="34" xfId="3" applyNumberFormat="1" applyFont="1" applyFill="1" applyBorder="1" applyAlignment="1">
      <alignment horizontal="center" vertical="center"/>
    </xf>
    <xf numFmtId="2" fontId="12" fillId="0" borderId="13" xfId="3" applyNumberFormat="1" applyFont="1" applyBorder="1" applyAlignment="1">
      <alignment horizontal="center" vertical="center"/>
    </xf>
    <xf numFmtId="2" fontId="12" fillId="0" borderId="11" xfId="3" applyNumberFormat="1" applyFont="1" applyBorder="1" applyAlignment="1">
      <alignment horizontal="center" vertical="center"/>
    </xf>
    <xf numFmtId="0" fontId="12" fillId="0" borderId="32" xfId="2" applyFont="1" applyBorder="1" applyAlignment="1">
      <alignment horizontal="center" vertical="center"/>
    </xf>
    <xf numFmtId="0" fontId="12" fillId="0" borderId="3" xfId="2" applyFont="1" applyBorder="1" applyAlignment="1">
      <alignment vertical="center"/>
    </xf>
    <xf numFmtId="0" fontId="12" fillId="0" borderId="3" xfId="2" applyFont="1" applyBorder="1" applyAlignment="1">
      <alignment horizontal="right" vertical="center"/>
    </xf>
    <xf numFmtId="0" fontId="12" fillId="0" borderId="22" xfId="4" applyFont="1" applyBorder="1" applyAlignment="1">
      <alignment vertical="center"/>
    </xf>
    <xf numFmtId="167" fontId="17" fillId="0" borderId="10" xfId="21" applyNumberFormat="1" applyFont="1" applyBorder="1" applyAlignment="1">
      <alignment horizontal="center" vertical="center"/>
    </xf>
    <xf numFmtId="2" fontId="12" fillId="0" borderId="10" xfId="3" applyNumberFormat="1" applyFont="1" applyBorder="1" applyAlignment="1">
      <alignment horizontal="center" vertical="center"/>
    </xf>
    <xf numFmtId="0" fontId="18" fillId="0" borderId="0" xfId="4" applyFont="1" applyAlignment="1">
      <alignment vertical="center"/>
    </xf>
    <xf numFmtId="167" fontId="17" fillId="0" borderId="9" xfId="21" applyNumberFormat="1" applyFont="1" applyBorder="1" applyAlignment="1">
      <alignment horizontal="center" vertical="center"/>
    </xf>
    <xf numFmtId="0" fontId="19" fillId="0" borderId="0" xfId="4" applyFont="1" applyAlignment="1">
      <alignment vertical="center"/>
    </xf>
    <xf numFmtId="0" fontId="12" fillId="0" borderId="25" xfId="4" applyFont="1" applyBorder="1" applyAlignment="1">
      <alignment horizontal="center" vertical="center"/>
    </xf>
    <xf numFmtId="0" fontId="17" fillId="0" borderId="20" xfId="3" applyFont="1" applyBorder="1" applyAlignment="1">
      <alignment horizontal="center" vertical="center"/>
    </xf>
    <xf numFmtId="0" fontId="17" fillId="0" borderId="25" xfId="3" applyFont="1" applyBorder="1" applyAlignment="1">
      <alignment horizontal="center" vertical="center"/>
    </xf>
    <xf numFmtId="0" fontId="17" fillId="0" borderId="20" xfId="3" applyNumberFormat="1" applyFont="1" applyBorder="1" applyAlignment="1">
      <alignment horizontal="center" vertical="center" wrapText="1"/>
    </xf>
    <xf numFmtId="167" fontId="12" fillId="0" borderId="28" xfId="3" applyNumberFormat="1" applyFont="1" applyFill="1" applyBorder="1" applyAlignment="1">
      <alignment horizontal="center" vertical="center"/>
    </xf>
    <xf numFmtId="0" fontId="12" fillId="0" borderId="0" xfId="4" applyFont="1" applyBorder="1" applyAlignment="1">
      <alignment horizontal="center" vertical="center"/>
    </xf>
    <xf numFmtId="0" fontId="17" fillId="0" borderId="0" xfId="3" applyFont="1" applyBorder="1" applyAlignment="1">
      <alignment horizontal="center" vertical="center"/>
    </xf>
    <xf numFmtId="1" fontId="17" fillId="0" borderId="0" xfId="3" applyNumberFormat="1" applyFont="1" applyBorder="1" applyAlignment="1">
      <alignment horizontal="center" vertical="center"/>
    </xf>
    <xf numFmtId="2" fontId="17" fillId="0" borderId="0" xfId="3" applyNumberFormat="1" applyFont="1" applyBorder="1" applyAlignment="1">
      <alignment horizontal="center" vertical="center" wrapText="1"/>
    </xf>
    <xf numFmtId="0" fontId="20" fillId="0" borderId="0" xfId="0" applyFont="1"/>
    <xf numFmtId="0" fontId="11" fillId="0" borderId="0" xfId="4" applyFont="1" applyFill="1" applyAlignment="1">
      <alignment horizontal="center" vertical="center"/>
    </xf>
    <xf numFmtId="0" fontId="11" fillId="0" borderId="0" xfId="4" applyFont="1" applyFill="1" applyAlignment="1">
      <alignment vertical="center"/>
    </xf>
    <xf numFmtId="0" fontId="11" fillId="0" borderId="0" xfId="4" applyFont="1" applyFill="1" applyBorder="1" applyAlignment="1">
      <alignment vertical="center"/>
    </xf>
    <xf numFmtId="0" fontId="11" fillId="0" borderId="0" xfId="4" applyFont="1" applyFill="1" applyBorder="1" applyAlignment="1">
      <alignment horizontal="left" vertical="center"/>
    </xf>
    <xf numFmtId="0" fontId="23" fillId="0" borderId="0" xfId="4" applyFont="1"/>
    <xf numFmtId="0" fontId="24" fillId="0" borderId="0" xfId="4" applyFont="1"/>
    <xf numFmtId="0" fontId="25" fillId="0" borderId="0" xfId="4" applyFont="1" applyBorder="1" applyAlignment="1">
      <alignment horizontal="left" vertical="center"/>
    </xf>
    <xf numFmtId="0" fontId="26" fillId="0" borderId="0" xfId="4" applyFont="1" applyBorder="1" applyAlignment="1">
      <alignment horizontal="left" vertical="center"/>
    </xf>
    <xf numFmtId="0" fontId="27" fillId="0" borderId="0" xfId="0" applyFont="1"/>
    <xf numFmtId="0" fontId="28" fillId="2" borderId="20" xfId="3" applyFont="1" applyFill="1" applyBorder="1" applyAlignment="1">
      <alignment horizontal="center" vertical="center" wrapText="1"/>
    </xf>
    <xf numFmtId="0" fontId="28" fillId="2" borderId="20" xfId="3" applyFont="1" applyFill="1" applyBorder="1" applyAlignment="1">
      <alignment horizontal="center" vertical="center"/>
    </xf>
    <xf numFmtId="0" fontId="28" fillId="2" borderId="21" xfId="3" applyFont="1" applyFill="1" applyBorder="1" applyAlignment="1">
      <alignment horizontal="center" vertical="center" wrapText="1"/>
    </xf>
    <xf numFmtId="0" fontId="28" fillId="0" borderId="0" xfId="4" applyFont="1" applyBorder="1" applyAlignment="1">
      <alignment vertical="center"/>
    </xf>
    <xf numFmtId="0" fontId="28" fillId="0" borderId="0" xfId="4" applyFont="1" applyAlignment="1">
      <alignment vertical="center"/>
    </xf>
    <xf numFmtId="0" fontId="29" fillId="0" borderId="0" xfId="0" applyFont="1"/>
    <xf numFmtId="166" fontId="12" fillId="0" borderId="0" xfId="22" applyNumberFormat="1" applyFont="1" applyFill="1" applyBorder="1" applyAlignment="1" applyProtection="1">
      <alignment horizontal="center" vertical="center" wrapText="1"/>
    </xf>
    <xf numFmtId="166" fontId="11" fillId="0" borderId="0" xfId="22" applyNumberFormat="1" applyFont="1" applyFill="1" applyBorder="1" applyAlignment="1" applyProtection="1">
      <alignment horizontal="center" vertical="center" wrapText="1"/>
    </xf>
    <xf numFmtId="0" fontId="12" fillId="4" borderId="9" xfId="3" applyFont="1" applyFill="1" applyBorder="1" applyAlignment="1" applyProtection="1">
      <alignment horizontal="center" vertical="center"/>
      <protection locked="0"/>
    </xf>
    <xf numFmtId="0" fontId="12" fillId="4" borderId="11" xfId="3" applyFont="1" applyFill="1" applyBorder="1" applyAlignment="1" applyProtection="1">
      <alignment horizontal="center" vertical="center"/>
      <protection locked="0"/>
    </xf>
    <xf numFmtId="0" fontId="12" fillId="4" borderId="13" xfId="3" applyFont="1" applyFill="1" applyBorder="1" applyAlignment="1" applyProtection="1">
      <alignment horizontal="center" vertical="center"/>
      <protection locked="0"/>
    </xf>
    <xf numFmtId="0" fontId="12" fillId="4" borderId="27" xfId="3" applyFont="1" applyFill="1" applyBorder="1" applyAlignment="1" applyProtection="1">
      <alignment horizontal="center" vertical="center"/>
      <protection locked="0"/>
    </xf>
    <xf numFmtId="0" fontId="12" fillId="4" borderId="10" xfId="3" applyFont="1" applyFill="1" applyBorder="1" applyAlignment="1" applyProtection="1">
      <alignment horizontal="center" vertical="center"/>
      <protection locked="0"/>
    </xf>
    <xf numFmtId="0" fontId="17" fillId="4" borderId="9" xfId="3" applyFont="1" applyFill="1" applyBorder="1" applyAlignment="1" applyProtection="1">
      <alignment horizontal="center" vertical="center"/>
      <protection locked="0"/>
    </xf>
    <xf numFmtId="166" fontId="12" fillId="0" borderId="1" xfId="22" applyNumberFormat="1" applyFont="1" applyFill="1" applyBorder="1" applyAlignment="1" applyProtection="1">
      <alignment horizontal="center" vertical="center" wrapText="1"/>
    </xf>
    <xf numFmtId="0" fontId="12" fillId="0" borderId="4" xfId="2" applyFont="1" applyBorder="1" applyAlignment="1">
      <alignment vertical="center" wrapText="1"/>
    </xf>
    <xf numFmtId="167" fontId="12" fillId="0" borderId="23" xfId="3" applyNumberFormat="1" applyFont="1" applyFill="1" applyBorder="1" applyAlignment="1">
      <alignment horizontal="center" vertical="center"/>
    </xf>
    <xf numFmtId="167" fontId="12" fillId="0" borderId="24" xfId="3" applyNumberFormat="1" applyFont="1" applyFill="1" applyBorder="1" applyAlignment="1">
      <alignment horizontal="center" vertical="center"/>
    </xf>
    <xf numFmtId="167" fontId="12" fillId="0" borderId="12" xfId="3" applyNumberFormat="1" applyFont="1" applyFill="1" applyBorder="1" applyAlignment="1">
      <alignment horizontal="center" vertical="center"/>
    </xf>
    <xf numFmtId="167" fontId="12" fillId="0" borderId="26" xfId="3" applyNumberFormat="1" applyFont="1" applyFill="1" applyBorder="1" applyAlignment="1">
      <alignment horizontal="center" vertical="center"/>
    </xf>
    <xf numFmtId="167" fontId="12" fillId="0" borderId="13" xfId="3" applyNumberFormat="1" applyFont="1" applyFill="1" applyBorder="1" applyAlignment="1">
      <alignment horizontal="center" vertical="center"/>
    </xf>
    <xf numFmtId="167" fontId="12" fillId="0" borderId="11" xfId="3" applyNumberFormat="1" applyFont="1" applyBorder="1" applyAlignment="1">
      <alignment horizontal="center" vertical="center"/>
    </xf>
    <xf numFmtId="0" fontId="12" fillId="0" borderId="44" xfId="2" applyFont="1" applyBorder="1" applyAlignment="1">
      <alignment horizontal="center" vertical="center"/>
    </xf>
    <xf numFmtId="0" fontId="12" fillId="0" borderId="45" xfId="2" applyFont="1" applyBorder="1" applyAlignment="1">
      <alignment vertical="center"/>
    </xf>
    <xf numFmtId="0" fontId="12" fillId="0" borderId="45" xfId="2" applyFont="1" applyBorder="1" applyAlignment="1">
      <alignment horizontal="right" vertical="center"/>
    </xf>
    <xf numFmtId="167" fontId="17" fillId="0" borderId="13" xfId="21" applyNumberFormat="1" applyFont="1" applyBorder="1" applyAlignment="1">
      <alignment horizontal="center" vertical="center"/>
    </xf>
    <xf numFmtId="0" fontId="12" fillId="0" borderId="46" xfId="4" applyFont="1" applyBorder="1" applyAlignment="1">
      <alignment vertical="center"/>
    </xf>
    <xf numFmtId="2" fontId="12" fillId="0" borderId="46" xfId="3" applyNumberFormat="1" applyFont="1" applyFill="1" applyBorder="1" applyAlignment="1">
      <alignment horizontal="center" vertical="center"/>
    </xf>
    <xf numFmtId="2" fontId="12" fillId="0" borderId="47" xfId="3" applyNumberFormat="1" applyFont="1" applyFill="1" applyBorder="1" applyAlignment="1">
      <alignment horizontal="center" vertical="center"/>
    </xf>
    <xf numFmtId="0" fontId="12" fillId="4" borderId="47" xfId="3" applyFont="1" applyFill="1" applyBorder="1" applyAlignment="1" applyProtection="1">
      <alignment horizontal="center" vertical="center"/>
      <protection locked="0"/>
    </xf>
    <xf numFmtId="0" fontId="12" fillId="0" borderId="48" xfId="2" applyFont="1" applyBorder="1" applyAlignment="1">
      <alignment horizontal="center" vertical="center"/>
    </xf>
    <xf numFmtId="0" fontId="12" fillId="0" borderId="0" xfId="2" applyFont="1" applyBorder="1" applyAlignment="1">
      <alignment vertical="center"/>
    </xf>
    <xf numFmtId="0" fontId="12" fillId="0" borderId="0" xfId="2" applyFont="1" applyBorder="1" applyAlignment="1">
      <alignment horizontal="right" vertical="center"/>
    </xf>
    <xf numFmtId="0" fontId="12" fillId="0" borderId="35" xfId="4" applyFont="1" applyBorder="1" applyAlignment="1">
      <alignment vertical="center"/>
    </xf>
    <xf numFmtId="2" fontId="12" fillId="0" borderId="49" xfId="3" applyNumberFormat="1" applyFont="1" applyBorder="1" applyAlignment="1">
      <alignment horizontal="center" vertical="center"/>
    </xf>
    <xf numFmtId="0" fontId="12" fillId="4" borderId="49" xfId="3" applyFont="1" applyFill="1" applyBorder="1" applyAlignment="1" applyProtection="1">
      <alignment horizontal="center" vertical="center"/>
      <protection locked="0"/>
    </xf>
    <xf numFmtId="167" fontId="12" fillId="0" borderId="46" xfId="3" applyNumberFormat="1" applyFont="1" applyFill="1" applyBorder="1" applyAlignment="1">
      <alignment horizontal="center" vertical="center"/>
    </xf>
    <xf numFmtId="167" fontId="12" fillId="0" borderId="49" xfId="3" applyNumberFormat="1" applyFont="1" applyBorder="1" applyAlignment="1">
      <alignment horizontal="center" vertical="center"/>
    </xf>
    <xf numFmtId="167" fontId="12" fillId="0" borderId="10" xfId="3" applyNumberFormat="1" applyFont="1" applyBorder="1" applyAlignment="1">
      <alignment horizontal="center" vertical="center"/>
    </xf>
    <xf numFmtId="167" fontId="12" fillId="0" borderId="40" xfId="3" applyNumberFormat="1" applyFont="1" applyFill="1" applyBorder="1" applyAlignment="1">
      <alignment horizontal="center" vertical="center"/>
    </xf>
    <xf numFmtId="0" fontId="12" fillId="0" borderId="2" xfId="2" applyFont="1" applyBorder="1" applyAlignment="1">
      <alignment vertical="center" wrapText="1"/>
    </xf>
    <xf numFmtId="167" fontId="17" fillId="0" borderId="20" xfId="3" applyNumberFormat="1" applyFont="1" applyBorder="1" applyAlignment="1">
      <alignment horizontal="center" vertical="center"/>
    </xf>
    <xf numFmtId="166" fontId="22" fillId="0" borderId="5" xfId="22" applyNumberFormat="1" applyFont="1" applyFill="1" applyBorder="1" applyAlignment="1" applyProtection="1">
      <alignment horizontal="left" vertical="center" wrapText="1"/>
    </xf>
    <xf numFmtId="0" fontId="21" fillId="0" borderId="10" xfId="4" applyFont="1" applyBorder="1" applyAlignment="1">
      <alignment horizontal="center" vertical="center" wrapText="1"/>
    </xf>
    <xf numFmtId="0" fontId="21" fillId="0" borderId="40" xfId="4" applyFont="1" applyBorder="1" applyAlignment="1">
      <alignment horizontal="center" vertical="center" wrapText="1"/>
    </xf>
    <xf numFmtId="0" fontId="21" fillId="0" borderId="9" xfId="4" applyFont="1" applyBorder="1" applyAlignment="1">
      <alignment horizontal="center" vertical="center" wrapText="1"/>
    </xf>
    <xf numFmtId="0" fontId="21" fillId="0" borderId="36" xfId="4" applyFont="1" applyBorder="1" applyAlignment="1">
      <alignment horizontal="center" vertical="center" wrapText="1"/>
    </xf>
    <xf numFmtId="0" fontId="32" fillId="0" borderId="41" xfId="4" applyFont="1" applyBorder="1" applyAlignment="1">
      <alignment horizontal="center" vertical="center" wrapText="1"/>
    </xf>
    <xf numFmtId="0" fontId="32" fillId="0" borderId="9" xfId="4" applyFont="1" applyBorder="1" applyAlignment="1">
      <alignment horizontal="center" vertical="center" wrapText="1"/>
    </xf>
    <xf numFmtId="14" fontId="21" fillId="0" borderId="9" xfId="4" applyNumberFormat="1" applyFont="1" applyBorder="1" applyAlignment="1">
      <alignment horizontal="center" vertical="center" wrapText="1"/>
    </xf>
    <xf numFmtId="0" fontId="11" fillId="0" borderId="35" xfId="2" applyFont="1" applyFill="1" applyBorder="1" applyAlignment="1">
      <alignment horizontal="center" vertical="center" textRotation="90"/>
    </xf>
    <xf numFmtId="0" fontId="11" fillId="0" borderId="26" xfId="2" applyFont="1" applyFill="1" applyBorder="1" applyAlignment="1">
      <alignment horizontal="center" vertical="center" textRotation="90"/>
    </xf>
    <xf numFmtId="0" fontId="11" fillId="3" borderId="35" xfId="2" applyFont="1" applyFill="1" applyBorder="1" applyAlignment="1">
      <alignment horizontal="center" vertical="center" textRotation="90"/>
    </xf>
    <xf numFmtId="0" fontId="11" fillId="3" borderId="26" xfId="2" applyFont="1" applyFill="1" applyBorder="1" applyAlignment="1">
      <alignment horizontal="center" vertical="center" textRotation="90"/>
    </xf>
    <xf numFmtId="0" fontId="33" fillId="0" borderId="14" xfId="4" applyFont="1" applyBorder="1" applyAlignment="1" applyProtection="1">
      <alignment horizontal="center" vertical="center"/>
      <protection locked="0"/>
    </xf>
    <xf numFmtId="0" fontId="33" fillId="0" borderId="5" xfId="4" applyFont="1" applyBorder="1" applyAlignment="1" applyProtection="1">
      <alignment horizontal="center" vertical="center"/>
      <protection locked="0"/>
    </xf>
    <xf numFmtId="0" fontId="33" fillId="0" borderId="15" xfId="4" applyFont="1" applyBorder="1" applyAlignment="1" applyProtection="1">
      <alignment horizontal="center" vertical="center"/>
      <protection locked="0"/>
    </xf>
    <xf numFmtId="0" fontId="33" fillId="0" borderId="16" xfId="4" applyFont="1" applyBorder="1" applyAlignment="1" applyProtection="1">
      <alignment horizontal="center" vertical="center"/>
      <protection locked="0"/>
    </xf>
    <xf numFmtId="0" fontId="33" fillId="0" borderId="0" xfId="4" applyFont="1" applyBorder="1" applyAlignment="1" applyProtection="1">
      <alignment horizontal="center" vertical="center"/>
      <protection locked="0"/>
    </xf>
    <xf numFmtId="0" fontId="33" fillId="0" borderId="17" xfId="4" applyFont="1" applyBorder="1" applyAlignment="1" applyProtection="1">
      <alignment horizontal="center" vertical="center"/>
      <protection locked="0"/>
    </xf>
    <xf numFmtId="0" fontId="33" fillId="0" borderId="18" xfId="4" applyFont="1" applyBorder="1" applyAlignment="1" applyProtection="1">
      <alignment horizontal="center" vertical="center"/>
      <protection locked="0"/>
    </xf>
    <xf numFmtId="0" fontId="33" fillId="0" borderId="1" xfId="4" applyFont="1" applyBorder="1" applyAlignment="1" applyProtection="1">
      <alignment horizontal="center" vertical="center"/>
      <protection locked="0"/>
    </xf>
    <xf numFmtId="0" fontId="33" fillId="0" borderId="19" xfId="4" applyFont="1" applyBorder="1" applyAlignment="1" applyProtection="1">
      <alignment horizontal="center" vertical="center"/>
      <protection locked="0"/>
    </xf>
    <xf numFmtId="0" fontId="31" fillId="2" borderId="37" xfId="2" applyFont="1" applyFill="1" applyBorder="1" applyAlignment="1">
      <alignment horizontal="center" vertical="center" textRotation="90"/>
    </xf>
    <xf numFmtId="0" fontId="31" fillId="2" borderId="43" xfId="2" applyFont="1" applyFill="1" applyBorder="1" applyAlignment="1">
      <alignment horizontal="center" vertical="center" textRotation="90"/>
    </xf>
    <xf numFmtId="0" fontId="31" fillId="2" borderId="50" xfId="2" applyFont="1" applyFill="1" applyBorder="1" applyAlignment="1">
      <alignment horizontal="center" vertical="center" textRotation="90"/>
    </xf>
    <xf numFmtId="0" fontId="25" fillId="6" borderId="37" xfId="2" applyFont="1" applyFill="1" applyBorder="1" applyAlignment="1">
      <alignment horizontal="center" vertical="center" textRotation="90"/>
    </xf>
    <xf numFmtId="0" fontId="25" fillId="6" borderId="43" xfId="2" applyFont="1" applyFill="1" applyBorder="1" applyAlignment="1">
      <alignment horizontal="center" vertical="center" textRotation="90"/>
    </xf>
    <xf numFmtId="0" fontId="6" fillId="6" borderId="37" xfId="2" applyFont="1" applyFill="1" applyBorder="1" applyAlignment="1">
      <alignment horizontal="center" vertical="center" textRotation="90"/>
    </xf>
    <xf numFmtId="0" fontId="6" fillId="6" borderId="50" xfId="2" applyFont="1" applyFill="1" applyBorder="1" applyAlignment="1">
      <alignment horizontal="center" vertical="center" textRotation="90"/>
    </xf>
    <xf numFmtId="0" fontId="5" fillId="3" borderId="0" xfId="4" applyFont="1" applyFill="1" applyAlignment="1">
      <alignment horizontal="center" vertical="center"/>
    </xf>
    <xf numFmtId="0" fontId="28" fillId="2" borderId="37" xfId="4" applyFont="1" applyFill="1" applyBorder="1" applyAlignment="1">
      <alignment horizontal="center" vertical="center"/>
    </xf>
    <xf numFmtId="0" fontId="28" fillId="2" borderId="20" xfId="4" applyFont="1" applyFill="1" applyBorder="1" applyAlignment="1">
      <alignment horizontal="center" vertical="center"/>
    </xf>
    <xf numFmtId="0" fontId="32" fillId="0" borderId="39" xfId="4" applyFont="1" applyBorder="1" applyAlignment="1">
      <alignment horizontal="center" vertical="center" wrapText="1"/>
    </xf>
    <xf numFmtId="0" fontId="32" fillId="0" borderId="10" xfId="4" applyFont="1" applyBorder="1" applyAlignment="1">
      <alignment horizontal="center" vertical="center" wrapText="1"/>
    </xf>
    <xf numFmtId="0" fontId="32" fillId="0" borderId="42" xfId="4" applyFont="1" applyBorder="1" applyAlignment="1">
      <alignment horizontal="center" vertical="center" wrapText="1"/>
    </xf>
    <xf numFmtId="0" fontId="32" fillId="0" borderId="11" xfId="4" applyFont="1" applyBorder="1" applyAlignment="1">
      <alignment horizontal="center" vertical="center" wrapText="1"/>
    </xf>
    <xf numFmtId="0" fontId="21" fillId="5" borderId="11" xfId="4" applyFont="1" applyFill="1" applyBorder="1" applyAlignment="1" applyProtection="1">
      <alignment horizontal="center" vertical="center" wrapText="1"/>
      <protection locked="0"/>
    </xf>
    <xf numFmtId="0" fontId="21" fillId="5" borderId="30" xfId="4" applyFont="1" applyFill="1" applyBorder="1" applyAlignment="1" applyProtection="1">
      <alignment horizontal="center" vertical="center" wrapText="1"/>
      <protection locked="0"/>
    </xf>
  </cellXfs>
  <cellStyles count="23">
    <cellStyle name="Currency 7" xfId="1"/>
    <cellStyle name="Normal" xfId="0" builtinId="0"/>
    <cellStyle name="Normal 10" xfId="2"/>
    <cellStyle name="Normal 11" xfId="3"/>
    <cellStyle name="Normal 2" xfId="4"/>
    <cellStyle name="Normal 2 2" xfId="5"/>
    <cellStyle name="Normal 2 2 2" xfId="6"/>
    <cellStyle name="Normal 2 2 3" xfId="7"/>
    <cellStyle name="Normal 2 2 4" xfId="8"/>
    <cellStyle name="Normal 2 3" xfId="9"/>
    <cellStyle name="Normal 2 4" xfId="10"/>
    <cellStyle name="Normal 2 5" xfId="11"/>
    <cellStyle name="Normal 2 6" xfId="12"/>
    <cellStyle name="Normal 2 7" xfId="13"/>
    <cellStyle name="Normal 2 8" xfId="14"/>
    <cellStyle name="Normal 2 9" xfId="15"/>
    <cellStyle name="Normal 3" xfId="16"/>
    <cellStyle name="Normal 5" xfId="17"/>
    <cellStyle name="Normal 6" xfId="18"/>
    <cellStyle name="Normal 7" xfId="19"/>
    <cellStyle name="Normal 8" xfId="20"/>
    <cellStyle name="Normal 9" xfId="21"/>
    <cellStyle name="Normal_Retra NSW" xfId="22"/>
  </cellStyles>
  <dxfs count="0"/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13</xdr:row>
          <xdr:rowOff>0</xdr:rowOff>
        </xdr:from>
        <xdr:to>
          <xdr:col>11</xdr:col>
          <xdr:colOff>1775460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CLICK HERE TO REGISTER YOUR NAME/DEPARTMENT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1173480</xdr:colOff>
          <xdr:row>4</xdr:row>
          <xdr:rowOff>0</xdr:rowOff>
        </xdr:from>
        <xdr:to>
          <xdr:col>11</xdr:col>
          <xdr:colOff>1775460</xdr:colOff>
          <xdr:row>6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ADMIN 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S67"/>
  <sheetViews>
    <sheetView showGridLines="0" tabSelected="1" view="pageBreakPreview" topLeftCell="A4" zoomScale="70" zoomScaleNormal="70" zoomScaleSheetLayoutView="70" workbookViewId="0">
      <selection activeCell="K23" sqref="K23"/>
    </sheetView>
  </sheetViews>
  <sheetFormatPr defaultColWidth="8.69921875" defaultRowHeight="30" x14ac:dyDescent="0.5"/>
  <cols>
    <col min="1" max="2" width="8.69921875" style="4" customWidth="1"/>
    <col min="3" max="3" width="8.69921875" style="91" customWidth="1"/>
    <col min="4" max="4" width="13.5" style="4" customWidth="1"/>
    <col min="5" max="5" width="43.3984375" style="4" customWidth="1"/>
    <col min="6" max="6" width="6" style="4" customWidth="1"/>
    <col min="7" max="7" width="21.19921875" style="4" customWidth="1"/>
    <col min="8" max="8" width="1.69921875" style="4" customWidth="1"/>
    <col min="9" max="9" width="18.59765625" style="82" customWidth="1"/>
    <col min="10" max="10" width="21.59765625" style="82" customWidth="1"/>
    <col min="11" max="11" width="22.09765625" style="82" customWidth="1"/>
    <col min="12" max="12" width="31.5" style="82" customWidth="1"/>
    <col min="13" max="13" width="25" style="4" customWidth="1"/>
    <col min="14" max="16384" width="8.69921875" style="4"/>
  </cols>
  <sheetData>
    <row r="2" spans="2:19" ht="13.8" x14ac:dyDescent="0.25">
      <c r="B2" s="162" t="s">
        <v>19</v>
      </c>
      <c r="C2" s="162"/>
      <c r="D2" s="162"/>
      <c r="E2" s="162"/>
      <c r="F2" s="162"/>
      <c r="G2" s="162"/>
      <c r="H2" s="162"/>
      <c r="I2" s="162"/>
      <c r="J2" s="1"/>
      <c r="K2" s="2"/>
      <c r="L2" s="2"/>
      <c r="M2" s="3"/>
      <c r="N2" s="3"/>
      <c r="O2" s="3"/>
      <c r="P2" s="3"/>
      <c r="Q2" s="3"/>
      <c r="R2" s="3"/>
      <c r="S2" s="3"/>
    </row>
    <row r="3" spans="2:19" ht="27" customHeight="1" x14ac:dyDescent="0.25">
      <c r="B3" s="162"/>
      <c r="C3" s="162"/>
      <c r="D3" s="162"/>
      <c r="E3" s="162"/>
      <c r="F3" s="162"/>
      <c r="G3" s="162"/>
      <c r="H3" s="162"/>
      <c r="I3" s="162"/>
      <c r="J3" s="1"/>
      <c r="K3" s="2"/>
      <c r="L3" s="2"/>
      <c r="M3" s="3"/>
      <c r="N3" s="3"/>
      <c r="O3" s="3"/>
      <c r="P3" s="3"/>
      <c r="Q3" s="3"/>
      <c r="R3" s="3"/>
      <c r="S3" s="3"/>
    </row>
    <row r="4" spans="2:19" ht="9.6" customHeight="1" x14ac:dyDescent="0.25">
      <c r="B4" s="5"/>
      <c r="C4" s="83"/>
      <c r="D4" s="5"/>
      <c r="E4" s="5"/>
      <c r="F4" s="5"/>
      <c r="G4" s="5"/>
      <c r="H4" s="5"/>
      <c r="I4" s="1"/>
      <c r="J4" s="1"/>
      <c r="K4" s="1"/>
      <c r="L4" s="1"/>
      <c r="M4" s="6"/>
      <c r="N4" s="6"/>
      <c r="O4" s="6"/>
      <c r="P4" s="6"/>
      <c r="Q4" s="6"/>
      <c r="R4" s="6"/>
      <c r="S4" s="6"/>
    </row>
    <row r="5" spans="2:19" ht="28.95" customHeight="1" x14ac:dyDescent="0.25">
      <c r="B5" s="7" t="s">
        <v>14</v>
      </c>
      <c r="C5" s="83"/>
      <c r="D5" s="5"/>
      <c r="E5" s="5"/>
      <c r="F5" s="5"/>
      <c r="G5" s="5"/>
      <c r="H5" s="5"/>
      <c r="I5" s="1"/>
      <c r="J5" s="1"/>
      <c r="K5" s="1"/>
      <c r="L5" s="1"/>
      <c r="M5" s="6"/>
      <c r="N5" s="6"/>
      <c r="O5" s="6"/>
      <c r="P5" s="6"/>
      <c r="Q5" s="6"/>
      <c r="R5" s="6"/>
      <c r="S5" s="6"/>
    </row>
    <row r="6" spans="2:19" ht="9.6" customHeight="1" x14ac:dyDescent="0.25">
      <c r="B6" s="6"/>
      <c r="C6" s="84"/>
      <c r="D6" s="6"/>
      <c r="E6" s="6"/>
      <c r="F6" s="6"/>
      <c r="G6" s="6"/>
      <c r="H6" s="6"/>
      <c r="I6" s="8"/>
      <c r="J6" s="8"/>
      <c r="K6" s="8"/>
      <c r="L6" s="8"/>
      <c r="M6" s="6"/>
      <c r="N6" s="6"/>
      <c r="O6" s="6"/>
      <c r="P6" s="6"/>
      <c r="Q6" s="6"/>
      <c r="R6" s="6"/>
      <c r="S6" s="6"/>
    </row>
    <row r="7" spans="2:19" ht="23.4" customHeight="1" thickBot="1" x14ac:dyDescent="0.3">
      <c r="B7" s="9" t="s">
        <v>0</v>
      </c>
      <c r="C7" s="85"/>
      <c r="D7" s="9"/>
      <c r="E7" s="10"/>
      <c r="F7" s="9"/>
      <c r="G7" s="11"/>
      <c r="H7" s="12"/>
      <c r="I7" s="12"/>
      <c r="J7" s="12"/>
      <c r="K7" s="12"/>
      <c r="L7" s="12"/>
      <c r="M7" s="6"/>
      <c r="N7" s="6"/>
      <c r="O7" s="6"/>
      <c r="P7" s="6"/>
      <c r="Q7" s="6"/>
      <c r="R7" s="6"/>
      <c r="S7" s="6"/>
    </row>
    <row r="8" spans="2:19" ht="22.2" customHeight="1" x14ac:dyDescent="0.25">
      <c r="B8" s="146" t="s">
        <v>127</v>
      </c>
      <c r="C8" s="147"/>
      <c r="D8" s="147"/>
      <c r="E8" s="147"/>
      <c r="F8" s="147"/>
      <c r="G8" s="148"/>
      <c r="H8" s="11"/>
      <c r="I8" s="165" t="s">
        <v>22</v>
      </c>
      <c r="J8" s="166"/>
      <c r="K8" s="135"/>
      <c r="L8" s="136"/>
      <c r="M8" s="3"/>
      <c r="N8" s="3"/>
      <c r="O8" s="3"/>
      <c r="P8" s="3"/>
      <c r="Q8" s="3"/>
      <c r="R8" s="3"/>
      <c r="S8" s="3"/>
    </row>
    <row r="9" spans="2:19" ht="33.6" customHeight="1" x14ac:dyDescent="0.25">
      <c r="B9" s="149"/>
      <c r="C9" s="150"/>
      <c r="D9" s="150"/>
      <c r="E9" s="150"/>
      <c r="F9" s="150"/>
      <c r="G9" s="151"/>
      <c r="H9" s="15"/>
      <c r="I9" s="139"/>
      <c r="J9" s="140"/>
      <c r="K9" s="137"/>
      <c r="L9" s="138"/>
      <c r="M9" s="3"/>
      <c r="N9" s="3"/>
      <c r="O9" s="3"/>
      <c r="P9" s="3"/>
      <c r="Q9" s="3"/>
      <c r="R9" s="3"/>
      <c r="S9" s="3"/>
    </row>
    <row r="10" spans="2:19" ht="37.950000000000003" customHeight="1" x14ac:dyDescent="0.25">
      <c r="B10" s="149"/>
      <c r="C10" s="150"/>
      <c r="D10" s="150"/>
      <c r="E10" s="150"/>
      <c r="F10" s="150"/>
      <c r="G10" s="151"/>
      <c r="H10" s="15"/>
      <c r="I10" s="139" t="s">
        <v>23</v>
      </c>
      <c r="J10" s="140"/>
      <c r="K10" s="141"/>
      <c r="L10" s="138"/>
      <c r="M10" s="3"/>
      <c r="N10" s="3"/>
      <c r="O10" s="3"/>
      <c r="P10" s="3"/>
      <c r="Q10" s="3"/>
      <c r="R10" s="3"/>
      <c r="S10" s="3"/>
    </row>
    <row r="11" spans="2:19" ht="33.6" customHeight="1" thickBot="1" x14ac:dyDescent="0.3">
      <c r="B11" s="152"/>
      <c r="C11" s="153"/>
      <c r="D11" s="153"/>
      <c r="E11" s="153"/>
      <c r="F11" s="153"/>
      <c r="G11" s="154"/>
      <c r="H11" s="15"/>
      <c r="I11" s="139"/>
      <c r="J11" s="140"/>
      <c r="K11" s="137"/>
      <c r="L11" s="138"/>
      <c r="M11" s="3"/>
      <c r="N11" s="3"/>
      <c r="O11" s="3"/>
      <c r="P11" s="3"/>
      <c r="Q11" s="3"/>
      <c r="R11" s="3"/>
      <c r="S11" s="3"/>
    </row>
    <row r="12" spans="2:19" ht="42" customHeight="1" thickBot="1" x14ac:dyDescent="0.3">
      <c r="B12" s="16" t="s">
        <v>4</v>
      </c>
      <c r="C12" s="86"/>
      <c r="D12" s="14"/>
      <c r="E12" s="14"/>
      <c r="F12" s="13"/>
      <c r="G12" s="17"/>
      <c r="H12" s="11"/>
      <c r="I12" s="167" t="s">
        <v>126</v>
      </c>
      <c r="J12" s="168"/>
      <c r="K12" s="169"/>
      <c r="L12" s="170"/>
      <c r="M12" s="3"/>
      <c r="N12" s="3"/>
      <c r="O12" s="3"/>
      <c r="P12" s="3"/>
      <c r="Q12" s="3"/>
      <c r="R12" s="3"/>
      <c r="S12" s="3"/>
    </row>
    <row r="13" spans="2:19" ht="19.2" customHeight="1" x14ac:dyDescent="0.5">
      <c r="B13" s="18" t="s">
        <v>13</v>
      </c>
      <c r="C13" s="87"/>
      <c r="D13" s="19"/>
      <c r="E13" s="19"/>
      <c r="F13" s="20"/>
      <c r="G13" s="20"/>
      <c r="H13" s="20"/>
      <c r="I13" s="20"/>
      <c r="J13" s="11"/>
      <c r="K13" s="11"/>
      <c r="L13" s="11"/>
      <c r="M13" s="3"/>
      <c r="N13" s="3"/>
      <c r="O13" s="3"/>
      <c r="P13" s="3"/>
      <c r="Q13" s="3"/>
      <c r="R13" s="3"/>
      <c r="S13" s="3"/>
    </row>
    <row r="14" spans="2:19" ht="19.2" customHeight="1" x14ac:dyDescent="0.5">
      <c r="B14" s="21" t="s">
        <v>21</v>
      </c>
      <c r="C14" s="88"/>
      <c r="D14" s="20"/>
      <c r="E14" s="20"/>
      <c r="F14" s="20"/>
      <c r="G14" s="20"/>
      <c r="H14" s="20"/>
      <c r="I14" s="20"/>
      <c r="J14" s="11"/>
      <c r="K14" s="11"/>
      <c r="L14" s="11"/>
      <c r="M14" s="3"/>
      <c r="N14" s="3"/>
      <c r="O14" s="3"/>
      <c r="P14" s="3"/>
      <c r="Q14" s="3"/>
      <c r="R14" s="3"/>
      <c r="S14" s="3"/>
    </row>
    <row r="15" spans="2:19" ht="19.2" customHeight="1" x14ac:dyDescent="0.5">
      <c r="B15" s="22" t="s">
        <v>6</v>
      </c>
      <c r="C15" s="88"/>
      <c r="D15" s="20"/>
      <c r="E15" s="20"/>
      <c r="F15" s="20"/>
      <c r="G15" s="20"/>
      <c r="H15" s="20"/>
      <c r="I15" s="20"/>
      <c r="J15" s="11"/>
      <c r="K15" s="11"/>
      <c r="L15" s="11"/>
      <c r="M15" s="3"/>
      <c r="N15" s="3"/>
      <c r="O15" s="3"/>
      <c r="P15" s="3"/>
      <c r="Q15" s="3"/>
      <c r="R15" s="3"/>
      <c r="S15" s="3"/>
    </row>
    <row r="16" spans="2:19" ht="19.2" customHeight="1" x14ac:dyDescent="0.5">
      <c r="B16" s="22" t="s">
        <v>5</v>
      </c>
      <c r="C16" s="88"/>
      <c r="D16" s="20"/>
      <c r="E16" s="20"/>
      <c r="F16" s="20"/>
      <c r="G16" s="20"/>
      <c r="H16" s="20"/>
      <c r="I16" s="20"/>
      <c r="J16" s="11"/>
      <c r="K16" s="11"/>
      <c r="L16" s="11"/>
      <c r="M16" s="3"/>
      <c r="N16" s="3"/>
      <c r="O16" s="3"/>
      <c r="P16" s="3"/>
      <c r="Q16" s="3"/>
      <c r="R16" s="3"/>
      <c r="S16" s="3"/>
    </row>
    <row r="17" spans="1:19" ht="19.2" customHeight="1" x14ac:dyDescent="0.25">
      <c r="B17" s="23"/>
      <c r="C17" s="89"/>
      <c r="D17" s="24"/>
      <c r="E17" s="24"/>
      <c r="F17" s="25"/>
      <c r="G17" s="26"/>
      <c r="H17" s="26"/>
      <c r="I17" s="26"/>
      <c r="J17" s="26"/>
      <c r="K17" s="26"/>
      <c r="L17" s="26"/>
      <c r="M17" s="3"/>
      <c r="N17" s="3"/>
      <c r="O17" s="3"/>
      <c r="P17" s="3"/>
      <c r="Q17" s="3"/>
      <c r="R17" s="3"/>
      <c r="S17" s="3"/>
    </row>
    <row r="18" spans="1:19" ht="19.2" customHeight="1" x14ac:dyDescent="0.25">
      <c r="B18" s="23"/>
      <c r="C18" s="89"/>
      <c r="D18" s="24"/>
      <c r="E18" s="24"/>
      <c r="F18" s="25"/>
      <c r="G18" s="26"/>
      <c r="H18" s="26"/>
      <c r="I18" s="26"/>
      <c r="J18" s="26"/>
      <c r="K18" s="26"/>
      <c r="L18" s="26"/>
      <c r="M18" s="3"/>
      <c r="N18" s="3"/>
      <c r="O18" s="3"/>
      <c r="P18" s="3"/>
      <c r="Q18" s="3"/>
      <c r="R18" s="3"/>
      <c r="S18" s="3"/>
    </row>
    <row r="19" spans="1:19" ht="3.6" customHeight="1" thickBot="1" x14ac:dyDescent="0.35">
      <c r="B19" s="27"/>
      <c r="C19" s="90"/>
      <c r="D19" s="28"/>
      <c r="E19" s="28"/>
      <c r="F19" s="29"/>
      <c r="G19" s="30"/>
      <c r="H19" s="30"/>
      <c r="I19" s="30"/>
      <c r="J19" s="30"/>
      <c r="K19" s="30"/>
      <c r="L19" s="30"/>
      <c r="M19" s="3"/>
      <c r="N19" s="3"/>
      <c r="O19" s="3"/>
      <c r="P19" s="3"/>
      <c r="Q19" s="3"/>
      <c r="R19" s="3"/>
      <c r="S19" s="3"/>
    </row>
    <row r="20" spans="1:19" s="97" customFormat="1" ht="67.95" customHeight="1" thickBot="1" x14ac:dyDescent="0.4">
      <c r="B20" s="163" t="s">
        <v>1</v>
      </c>
      <c r="C20" s="164"/>
      <c r="D20" s="164"/>
      <c r="E20" s="164"/>
      <c r="F20" s="164"/>
      <c r="G20" s="164"/>
      <c r="H20" s="164"/>
      <c r="I20" s="92" t="s">
        <v>10</v>
      </c>
      <c r="J20" s="92" t="s">
        <v>9</v>
      </c>
      <c r="K20" s="93" t="s">
        <v>7</v>
      </c>
      <c r="L20" s="92" t="s">
        <v>8</v>
      </c>
      <c r="M20" s="94" t="s">
        <v>24</v>
      </c>
      <c r="N20" s="95"/>
      <c r="O20" s="95"/>
      <c r="P20" s="95"/>
      <c r="Q20" s="95"/>
      <c r="R20" s="96"/>
      <c r="S20" s="96"/>
    </row>
    <row r="21" spans="1:19" ht="34.950000000000003" customHeight="1" x14ac:dyDescent="0.25">
      <c r="A21" s="32"/>
      <c r="B21" s="33"/>
      <c r="C21" s="142" t="s">
        <v>36</v>
      </c>
      <c r="D21" s="34" t="s">
        <v>41</v>
      </c>
      <c r="E21" s="35"/>
      <c r="F21" s="35"/>
      <c r="G21" s="36" t="s">
        <v>42</v>
      </c>
      <c r="H21" s="37"/>
      <c r="I21" s="40">
        <v>399</v>
      </c>
      <c r="J21" s="41">
        <v>199.5</v>
      </c>
      <c r="K21" s="100"/>
      <c r="L21" s="108">
        <f t="shared" ref="L21" si="0">IF(NOT(ISERROR(ABS(K21))),J21*K21,0)</f>
        <v>0</v>
      </c>
      <c r="M21" s="39" t="s">
        <v>25</v>
      </c>
      <c r="N21" s="31"/>
      <c r="O21" s="31"/>
      <c r="P21" s="31"/>
      <c r="Q21" s="31"/>
    </row>
    <row r="22" spans="1:19" ht="34.950000000000003" customHeight="1" x14ac:dyDescent="0.25">
      <c r="A22" s="32"/>
      <c r="B22" s="33"/>
      <c r="C22" s="142"/>
      <c r="D22" s="114" t="s">
        <v>43</v>
      </c>
      <c r="E22" s="115" t="s">
        <v>44</v>
      </c>
      <c r="F22" s="115"/>
      <c r="G22" s="116" t="s">
        <v>45</v>
      </c>
      <c r="H22" s="118"/>
      <c r="I22" s="119">
        <v>499</v>
      </c>
      <c r="J22" s="120">
        <v>249.5</v>
      </c>
      <c r="K22" s="121"/>
      <c r="L22" s="108">
        <f t="shared" ref="L22:L25" si="1">IF(NOT(ISERROR(ABS(K22))),J22*K22,0)</f>
        <v>0</v>
      </c>
      <c r="M22" s="39" t="s">
        <v>25</v>
      </c>
      <c r="N22" s="31"/>
      <c r="O22" s="31"/>
      <c r="P22" s="31"/>
      <c r="Q22" s="31"/>
    </row>
    <row r="23" spans="1:19" ht="34.950000000000003" customHeight="1" x14ac:dyDescent="0.25">
      <c r="A23" s="32"/>
      <c r="B23" s="33"/>
      <c r="C23" s="142"/>
      <c r="D23" s="114" t="s">
        <v>46</v>
      </c>
      <c r="E23" s="115" t="s">
        <v>47</v>
      </c>
      <c r="F23" s="115"/>
      <c r="G23" s="116" t="s">
        <v>48</v>
      </c>
      <c r="H23" s="118"/>
      <c r="I23" s="119">
        <v>699</v>
      </c>
      <c r="J23" s="120">
        <v>349.5</v>
      </c>
      <c r="K23" s="121"/>
      <c r="L23" s="108">
        <f t="shared" si="1"/>
        <v>0</v>
      </c>
      <c r="M23" s="39">
        <f>L23</f>
        <v>0</v>
      </c>
      <c r="N23" s="31"/>
      <c r="O23" s="31"/>
      <c r="P23" s="31"/>
      <c r="Q23" s="31"/>
    </row>
    <row r="24" spans="1:19" ht="34.950000000000003" customHeight="1" x14ac:dyDescent="0.25">
      <c r="A24" s="32"/>
      <c r="B24" s="33"/>
      <c r="C24" s="142"/>
      <c r="D24" s="114" t="s">
        <v>46</v>
      </c>
      <c r="E24" s="115"/>
      <c r="F24" s="115"/>
      <c r="G24" s="116" t="s">
        <v>49</v>
      </c>
      <c r="H24" s="118"/>
      <c r="I24" s="119">
        <v>759</v>
      </c>
      <c r="J24" s="120">
        <v>379.5</v>
      </c>
      <c r="K24" s="121"/>
      <c r="L24" s="108">
        <f t="shared" si="1"/>
        <v>0</v>
      </c>
      <c r="M24" s="39">
        <f t="shared" ref="M24:M29" si="2">L24</f>
        <v>0</v>
      </c>
      <c r="N24" s="31"/>
      <c r="O24" s="31"/>
      <c r="P24" s="31"/>
      <c r="Q24" s="31"/>
    </row>
    <row r="25" spans="1:19" ht="34.950000000000003" customHeight="1" x14ac:dyDescent="0.25">
      <c r="A25" s="32"/>
      <c r="B25" s="33"/>
      <c r="C25" s="142"/>
      <c r="D25" s="114" t="s">
        <v>50</v>
      </c>
      <c r="E25" s="115" t="s">
        <v>20</v>
      </c>
      <c r="F25" s="115"/>
      <c r="G25" s="116" t="s">
        <v>32</v>
      </c>
      <c r="H25" s="118"/>
      <c r="I25" s="119">
        <v>899</v>
      </c>
      <c r="J25" s="120">
        <v>449.5</v>
      </c>
      <c r="K25" s="121"/>
      <c r="L25" s="128">
        <f t="shared" si="1"/>
        <v>0</v>
      </c>
      <c r="M25" s="39">
        <f t="shared" si="2"/>
        <v>0</v>
      </c>
      <c r="N25" s="31"/>
      <c r="O25" s="31"/>
      <c r="P25" s="31"/>
      <c r="Q25" s="31"/>
    </row>
    <row r="26" spans="1:19" ht="34.950000000000003" customHeight="1" x14ac:dyDescent="0.25">
      <c r="A26" s="32"/>
      <c r="B26" s="33"/>
      <c r="C26" s="142"/>
      <c r="D26" s="114" t="s">
        <v>73</v>
      </c>
      <c r="E26" s="115" t="s">
        <v>74</v>
      </c>
      <c r="F26" s="115"/>
      <c r="G26" s="116" t="s">
        <v>75</v>
      </c>
      <c r="H26" s="118"/>
      <c r="I26" s="119">
        <v>1049</v>
      </c>
      <c r="J26" s="120">
        <f t="shared" ref="J26:J29" si="3">I26/2</f>
        <v>524.5</v>
      </c>
      <c r="K26" s="121"/>
      <c r="L26" s="128">
        <f t="shared" ref="L26:L29" si="4">J26*K26</f>
        <v>0</v>
      </c>
      <c r="M26" s="39">
        <f t="shared" si="2"/>
        <v>0</v>
      </c>
      <c r="N26" s="31"/>
      <c r="O26" s="31"/>
      <c r="P26" s="31"/>
      <c r="Q26" s="31"/>
    </row>
    <row r="27" spans="1:19" ht="34.950000000000003" customHeight="1" x14ac:dyDescent="0.25">
      <c r="A27" s="32"/>
      <c r="B27" s="33"/>
      <c r="C27" s="142"/>
      <c r="D27" s="114" t="s">
        <v>73</v>
      </c>
      <c r="E27" s="115" t="s">
        <v>76</v>
      </c>
      <c r="F27" s="115"/>
      <c r="G27" s="116" t="s">
        <v>77</v>
      </c>
      <c r="H27" s="118"/>
      <c r="I27" s="119">
        <v>1049</v>
      </c>
      <c r="J27" s="120">
        <f t="shared" si="3"/>
        <v>524.5</v>
      </c>
      <c r="K27" s="121"/>
      <c r="L27" s="128">
        <f t="shared" si="4"/>
        <v>0</v>
      </c>
      <c r="M27" s="39">
        <f t="shared" si="2"/>
        <v>0</v>
      </c>
      <c r="N27" s="31"/>
      <c r="O27" s="31"/>
      <c r="P27" s="31"/>
      <c r="Q27" s="31"/>
    </row>
    <row r="28" spans="1:19" ht="34.950000000000003" customHeight="1" x14ac:dyDescent="0.25">
      <c r="A28" s="32"/>
      <c r="B28" s="33"/>
      <c r="C28" s="142"/>
      <c r="D28" s="114" t="s">
        <v>78</v>
      </c>
      <c r="E28" s="115" t="s">
        <v>79</v>
      </c>
      <c r="F28" s="115"/>
      <c r="G28" s="116" t="s">
        <v>80</v>
      </c>
      <c r="H28" s="118"/>
      <c r="I28" s="119">
        <v>999</v>
      </c>
      <c r="J28" s="120">
        <f t="shared" si="3"/>
        <v>499.5</v>
      </c>
      <c r="K28" s="121"/>
      <c r="L28" s="128">
        <f t="shared" si="4"/>
        <v>0</v>
      </c>
      <c r="M28" s="39">
        <f t="shared" si="2"/>
        <v>0</v>
      </c>
      <c r="N28" s="31"/>
      <c r="O28" s="31"/>
      <c r="P28" s="31"/>
      <c r="Q28" s="31"/>
    </row>
    <row r="29" spans="1:19" ht="34.950000000000003" customHeight="1" x14ac:dyDescent="0.25">
      <c r="A29" s="32"/>
      <c r="B29" s="33"/>
      <c r="C29" s="142"/>
      <c r="D29" s="114" t="s">
        <v>78</v>
      </c>
      <c r="E29" s="115" t="s">
        <v>81</v>
      </c>
      <c r="F29" s="115"/>
      <c r="G29" s="116" t="s">
        <v>82</v>
      </c>
      <c r="H29" s="118"/>
      <c r="I29" s="119">
        <v>1099</v>
      </c>
      <c r="J29" s="120">
        <f t="shared" si="3"/>
        <v>549.5</v>
      </c>
      <c r="K29" s="121"/>
      <c r="L29" s="128">
        <f t="shared" si="4"/>
        <v>0</v>
      </c>
      <c r="M29" s="39">
        <f t="shared" si="2"/>
        <v>0</v>
      </c>
      <c r="N29" s="31"/>
      <c r="O29" s="31"/>
      <c r="P29" s="31"/>
      <c r="Q29" s="31"/>
    </row>
    <row r="30" spans="1:19" ht="34.950000000000003" customHeight="1" thickBot="1" x14ac:dyDescent="0.3">
      <c r="A30" s="32"/>
      <c r="B30" s="33"/>
      <c r="C30" s="143"/>
      <c r="D30" s="42" t="s">
        <v>78</v>
      </c>
      <c r="E30" s="43" t="s">
        <v>83</v>
      </c>
      <c r="F30" s="43"/>
      <c r="G30" s="44" t="s">
        <v>84</v>
      </c>
      <c r="H30" s="45"/>
      <c r="I30" s="46">
        <v>1199</v>
      </c>
      <c r="J30" s="47">
        <f t="shared" ref="J30:J31" si="5">I30/2</f>
        <v>599.5</v>
      </c>
      <c r="K30" s="101"/>
      <c r="L30" s="109">
        <f t="shared" ref="L30:L31" si="6">J30*K30</f>
        <v>0</v>
      </c>
      <c r="M30" s="48">
        <f>L30</f>
        <v>0</v>
      </c>
      <c r="N30" s="31"/>
      <c r="O30" s="31"/>
      <c r="P30" s="31"/>
      <c r="Q30" s="31"/>
    </row>
    <row r="31" spans="1:19" ht="34.950000000000003" customHeight="1" x14ac:dyDescent="0.25">
      <c r="A31" s="32"/>
      <c r="B31" s="33"/>
      <c r="C31" s="144" t="s">
        <v>15</v>
      </c>
      <c r="D31" s="49" t="s">
        <v>85</v>
      </c>
      <c r="E31" s="50" t="s">
        <v>86</v>
      </c>
      <c r="F31" s="50"/>
      <c r="G31" s="51" t="s">
        <v>87</v>
      </c>
      <c r="H31" s="52"/>
      <c r="I31" s="53">
        <v>699</v>
      </c>
      <c r="J31" s="54">
        <f t="shared" si="5"/>
        <v>349.5</v>
      </c>
      <c r="K31" s="102"/>
      <c r="L31" s="110">
        <f t="shared" si="6"/>
        <v>0</v>
      </c>
      <c r="M31" s="39">
        <f>L31</f>
        <v>0</v>
      </c>
      <c r="N31" s="31"/>
      <c r="O31" s="31"/>
      <c r="P31" s="31"/>
      <c r="Q31" s="31"/>
    </row>
    <row r="32" spans="1:19" ht="34.950000000000003" customHeight="1" x14ac:dyDescent="0.25">
      <c r="A32" s="32"/>
      <c r="B32" s="33"/>
      <c r="C32" s="144"/>
      <c r="D32" s="49" t="s">
        <v>16</v>
      </c>
      <c r="E32" s="50"/>
      <c r="F32" s="50"/>
      <c r="G32" s="51" t="s">
        <v>17</v>
      </c>
      <c r="H32" s="52"/>
      <c r="I32" s="53">
        <v>879</v>
      </c>
      <c r="J32" s="54">
        <v>439.5</v>
      </c>
      <c r="K32" s="102"/>
      <c r="L32" s="110">
        <f t="shared" ref="L32" si="7">IF(NOT(ISERROR(ABS(K32))),J32*K32,0)</f>
        <v>0</v>
      </c>
      <c r="M32" s="39">
        <f>L32</f>
        <v>0</v>
      </c>
      <c r="N32" s="31"/>
      <c r="O32" s="31"/>
      <c r="P32" s="31"/>
      <c r="Q32" s="31"/>
    </row>
    <row r="33" spans="1:17" ht="34.950000000000003" customHeight="1" x14ac:dyDescent="0.25">
      <c r="A33" s="32"/>
      <c r="B33" s="33"/>
      <c r="C33" s="144"/>
      <c r="D33" s="34" t="s">
        <v>27</v>
      </c>
      <c r="E33" s="35"/>
      <c r="F33" s="35"/>
      <c r="G33" s="36" t="s">
        <v>28</v>
      </c>
      <c r="H33" s="37"/>
      <c r="I33" s="40">
        <v>1299</v>
      </c>
      <c r="J33" s="41">
        <v>649.5</v>
      </c>
      <c r="K33" s="100"/>
      <c r="L33" s="108">
        <f t="shared" ref="L33:L36" si="8">IF(NOT(ISERROR(ABS(K33))),J33*K33,0)</f>
        <v>0</v>
      </c>
      <c r="M33" s="39">
        <f t="shared" ref="M33:M37" si="9">L33</f>
        <v>0</v>
      </c>
      <c r="N33" s="31"/>
      <c r="O33" s="31"/>
      <c r="P33" s="31"/>
      <c r="Q33" s="31"/>
    </row>
    <row r="34" spans="1:17" ht="34.950000000000003" customHeight="1" x14ac:dyDescent="0.25">
      <c r="A34" s="32"/>
      <c r="B34" s="33"/>
      <c r="C34" s="144"/>
      <c r="D34" s="34" t="s">
        <v>111</v>
      </c>
      <c r="E34" s="35" t="s">
        <v>112</v>
      </c>
      <c r="F34" s="35"/>
      <c r="G34" s="36" t="s">
        <v>113</v>
      </c>
      <c r="H34" s="37"/>
      <c r="I34" s="40">
        <v>1299</v>
      </c>
      <c r="J34" s="41">
        <v>649.5</v>
      </c>
      <c r="K34" s="100"/>
      <c r="L34" s="108">
        <f t="shared" ref="L34" si="10">IF(NOT(ISERROR(ABS(K34))),J34*K34,0)</f>
        <v>0</v>
      </c>
      <c r="M34" s="39">
        <f t="shared" si="9"/>
        <v>0</v>
      </c>
      <c r="N34" s="31"/>
      <c r="O34" s="31"/>
      <c r="P34" s="31"/>
      <c r="Q34" s="31"/>
    </row>
    <row r="35" spans="1:17" ht="34.950000000000003" customHeight="1" x14ac:dyDescent="0.25">
      <c r="A35" s="32"/>
      <c r="B35" s="33"/>
      <c r="C35" s="144"/>
      <c r="D35" s="34" t="s">
        <v>51</v>
      </c>
      <c r="E35" s="35" t="s">
        <v>29</v>
      </c>
      <c r="F35" s="35"/>
      <c r="G35" s="36" t="s">
        <v>52</v>
      </c>
      <c r="H35" s="37"/>
      <c r="I35" s="40">
        <v>959</v>
      </c>
      <c r="J35" s="41">
        <v>479.5</v>
      </c>
      <c r="K35" s="100"/>
      <c r="L35" s="108">
        <f t="shared" ref="L35" si="11">IF(NOT(ISERROR(ABS(K35))),J35*K35,0)</f>
        <v>0</v>
      </c>
      <c r="M35" s="39">
        <f t="shared" si="9"/>
        <v>0</v>
      </c>
      <c r="N35" s="31"/>
      <c r="O35" s="31"/>
      <c r="P35" s="31"/>
      <c r="Q35" s="31"/>
    </row>
    <row r="36" spans="1:17" ht="34.950000000000003" customHeight="1" x14ac:dyDescent="0.25">
      <c r="A36" s="32"/>
      <c r="B36" s="33"/>
      <c r="C36" s="144"/>
      <c r="D36" s="34" t="s">
        <v>53</v>
      </c>
      <c r="E36" s="35" t="s">
        <v>29</v>
      </c>
      <c r="F36" s="35"/>
      <c r="G36" s="36" t="s">
        <v>37</v>
      </c>
      <c r="H36" s="37"/>
      <c r="I36" s="40">
        <v>1059</v>
      </c>
      <c r="J36" s="41">
        <v>529.5</v>
      </c>
      <c r="K36" s="100"/>
      <c r="L36" s="108">
        <f t="shared" si="8"/>
        <v>0</v>
      </c>
      <c r="M36" s="39">
        <f t="shared" si="9"/>
        <v>0</v>
      </c>
      <c r="N36" s="31"/>
      <c r="O36" s="31"/>
      <c r="P36" s="31"/>
      <c r="Q36" s="31"/>
    </row>
    <row r="37" spans="1:17" ht="34.950000000000003" customHeight="1" x14ac:dyDescent="0.25">
      <c r="A37" s="32"/>
      <c r="B37" s="33"/>
      <c r="C37" s="144"/>
      <c r="D37" s="34" t="s">
        <v>33</v>
      </c>
      <c r="E37" s="35" t="s">
        <v>38</v>
      </c>
      <c r="F37" s="35"/>
      <c r="G37" s="36" t="s">
        <v>39</v>
      </c>
      <c r="H37" s="37"/>
      <c r="I37" s="40">
        <v>1049</v>
      </c>
      <c r="J37" s="41">
        <v>524.5</v>
      </c>
      <c r="K37" s="100"/>
      <c r="L37" s="108">
        <f t="shared" ref="L37" si="12">IF(NOT(ISERROR(ABS(K37))),J37*K37,0)</f>
        <v>0</v>
      </c>
      <c r="M37" s="39">
        <f t="shared" si="9"/>
        <v>0</v>
      </c>
      <c r="N37" s="31"/>
      <c r="O37" s="31"/>
      <c r="P37" s="31"/>
      <c r="Q37" s="31"/>
    </row>
    <row r="38" spans="1:17" ht="34.950000000000003" customHeight="1" thickBot="1" x14ac:dyDescent="0.3">
      <c r="A38" s="32"/>
      <c r="B38" s="33"/>
      <c r="C38" s="145"/>
      <c r="D38" s="55" t="s">
        <v>33</v>
      </c>
      <c r="E38" s="56" t="s">
        <v>34</v>
      </c>
      <c r="F38" s="56"/>
      <c r="G38" s="57" t="s">
        <v>35</v>
      </c>
      <c r="H38" s="58"/>
      <c r="I38" s="59">
        <v>1199</v>
      </c>
      <c r="J38" s="60">
        <v>599.5</v>
      </c>
      <c r="K38" s="103"/>
      <c r="L38" s="111">
        <f t="shared" ref="L38" si="13">IF(NOT(ISERROR(ABS(K38))),J38*K38,0)</f>
        <v>0</v>
      </c>
      <c r="M38" s="61">
        <f>L38</f>
        <v>0</v>
      </c>
      <c r="N38" s="31"/>
      <c r="O38" s="31"/>
      <c r="P38" s="31"/>
      <c r="Q38" s="31"/>
    </row>
    <row r="39" spans="1:17" ht="34.950000000000003" customHeight="1" x14ac:dyDescent="0.25">
      <c r="A39" s="32"/>
      <c r="B39" s="33"/>
      <c r="C39" s="155" t="s">
        <v>40</v>
      </c>
      <c r="D39" s="49" t="s">
        <v>54</v>
      </c>
      <c r="E39" s="50" t="s">
        <v>88</v>
      </c>
      <c r="F39" s="50"/>
      <c r="G39" s="51" t="s">
        <v>89</v>
      </c>
      <c r="H39" s="52"/>
      <c r="I39" s="54">
        <v>399</v>
      </c>
      <c r="J39" s="62">
        <f t="shared" ref="J39:J51" si="14">I39/2</f>
        <v>199.5</v>
      </c>
      <c r="K39" s="102"/>
      <c r="L39" s="112">
        <f t="shared" ref="L39:L51" si="15">J39*K39</f>
        <v>0</v>
      </c>
      <c r="M39" s="39" t="s">
        <v>25</v>
      </c>
      <c r="N39" s="31"/>
      <c r="O39" s="31"/>
      <c r="P39" s="31"/>
      <c r="Q39" s="31"/>
    </row>
    <row r="40" spans="1:17" ht="34.950000000000003" customHeight="1" x14ac:dyDescent="0.25">
      <c r="A40" s="32"/>
      <c r="B40" s="33"/>
      <c r="C40" s="156"/>
      <c r="D40" s="49" t="s">
        <v>54</v>
      </c>
      <c r="E40" s="50" t="s">
        <v>90</v>
      </c>
      <c r="F40" s="50"/>
      <c r="G40" s="51" t="s">
        <v>91</v>
      </c>
      <c r="H40" s="52"/>
      <c r="I40" s="54">
        <v>399</v>
      </c>
      <c r="J40" s="62">
        <f t="shared" si="14"/>
        <v>199.5</v>
      </c>
      <c r="K40" s="102"/>
      <c r="L40" s="112">
        <f t="shared" si="15"/>
        <v>0</v>
      </c>
      <c r="M40" s="39" t="s">
        <v>25</v>
      </c>
      <c r="N40" s="31"/>
      <c r="O40" s="31"/>
      <c r="P40" s="31"/>
      <c r="Q40" s="31"/>
    </row>
    <row r="41" spans="1:17" ht="34.950000000000003" customHeight="1" x14ac:dyDescent="0.25">
      <c r="A41" s="32"/>
      <c r="B41" s="33"/>
      <c r="C41" s="156"/>
      <c r="D41" s="49" t="s">
        <v>54</v>
      </c>
      <c r="E41" s="50" t="s">
        <v>92</v>
      </c>
      <c r="F41" s="50"/>
      <c r="G41" s="51" t="s">
        <v>93</v>
      </c>
      <c r="H41" s="52"/>
      <c r="I41" s="54">
        <v>479</v>
      </c>
      <c r="J41" s="62">
        <f t="shared" si="14"/>
        <v>239.5</v>
      </c>
      <c r="K41" s="102"/>
      <c r="L41" s="112">
        <f t="shared" si="15"/>
        <v>0</v>
      </c>
      <c r="M41" s="39" t="s">
        <v>25</v>
      </c>
      <c r="N41" s="31"/>
      <c r="O41" s="31"/>
      <c r="P41" s="31"/>
      <c r="Q41" s="31"/>
    </row>
    <row r="42" spans="1:17" ht="34.950000000000003" customHeight="1" x14ac:dyDescent="0.25">
      <c r="A42" s="32"/>
      <c r="B42" s="33"/>
      <c r="C42" s="156"/>
      <c r="D42" s="49" t="s">
        <v>54</v>
      </c>
      <c r="E42" s="50" t="s">
        <v>94</v>
      </c>
      <c r="F42" s="50"/>
      <c r="G42" s="51" t="s">
        <v>95</v>
      </c>
      <c r="H42" s="52"/>
      <c r="I42" s="54">
        <v>479</v>
      </c>
      <c r="J42" s="62">
        <f t="shared" si="14"/>
        <v>239.5</v>
      </c>
      <c r="K42" s="102"/>
      <c r="L42" s="112">
        <f t="shared" si="15"/>
        <v>0</v>
      </c>
      <c r="M42" s="39" t="s">
        <v>25</v>
      </c>
      <c r="N42" s="31"/>
      <c r="O42" s="31"/>
      <c r="P42" s="31"/>
      <c r="Q42" s="31"/>
    </row>
    <row r="43" spans="1:17" ht="34.950000000000003" customHeight="1" x14ac:dyDescent="0.25">
      <c r="A43" s="32"/>
      <c r="B43" s="33"/>
      <c r="C43" s="156"/>
      <c r="D43" s="49" t="s">
        <v>54</v>
      </c>
      <c r="E43" s="50" t="s">
        <v>55</v>
      </c>
      <c r="F43" s="50"/>
      <c r="G43" s="51" t="s">
        <v>56</v>
      </c>
      <c r="H43" s="52"/>
      <c r="I43" s="54">
        <v>499</v>
      </c>
      <c r="J43" s="62">
        <f t="shared" si="14"/>
        <v>249.5</v>
      </c>
      <c r="K43" s="102"/>
      <c r="L43" s="112">
        <f t="shared" si="15"/>
        <v>0</v>
      </c>
      <c r="M43" s="39" t="s">
        <v>25</v>
      </c>
      <c r="N43" s="31"/>
      <c r="O43" s="31"/>
      <c r="P43" s="31"/>
      <c r="Q43" s="31"/>
    </row>
    <row r="44" spans="1:17" ht="34.950000000000003" customHeight="1" x14ac:dyDescent="0.25">
      <c r="A44" s="32"/>
      <c r="B44" s="33"/>
      <c r="C44" s="156"/>
      <c r="D44" s="49" t="s">
        <v>57</v>
      </c>
      <c r="E44" s="50" t="s">
        <v>96</v>
      </c>
      <c r="F44" s="50"/>
      <c r="G44" s="51" t="s">
        <v>97</v>
      </c>
      <c r="H44" s="52"/>
      <c r="I44" s="54">
        <v>779</v>
      </c>
      <c r="J44" s="62">
        <f t="shared" si="14"/>
        <v>389.5</v>
      </c>
      <c r="K44" s="102"/>
      <c r="L44" s="112">
        <f>J44*K44</f>
        <v>0</v>
      </c>
      <c r="M44" s="39">
        <f>L44</f>
        <v>0</v>
      </c>
      <c r="N44" s="31"/>
      <c r="O44" s="31"/>
      <c r="P44" s="31"/>
      <c r="Q44" s="31"/>
    </row>
    <row r="45" spans="1:17" ht="34.950000000000003" customHeight="1" x14ac:dyDescent="0.25">
      <c r="A45" s="32"/>
      <c r="B45" s="33"/>
      <c r="C45" s="156"/>
      <c r="D45" s="49" t="s">
        <v>57</v>
      </c>
      <c r="E45" s="50" t="s">
        <v>58</v>
      </c>
      <c r="F45" s="50"/>
      <c r="G45" s="51" t="s">
        <v>59</v>
      </c>
      <c r="H45" s="52"/>
      <c r="I45" s="54">
        <v>779</v>
      </c>
      <c r="J45" s="62">
        <f t="shared" si="14"/>
        <v>389.5</v>
      </c>
      <c r="K45" s="102"/>
      <c r="L45" s="112">
        <f t="shared" si="15"/>
        <v>0</v>
      </c>
      <c r="M45" s="39">
        <f t="shared" ref="M45:M51" si="16">L45</f>
        <v>0</v>
      </c>
      <c r="N45" s="31"/>
      <c r="O45" s="31"/>
      <c r="P45" s="31"/>
      <c r="Q45" s="31"/>
    </row>
    <row r="46" spans="1:17" ht="34.950000000000003" customHeight="1" x14ac:dyDescent="0.25">
      <c r="A46" s="32"/>
      <c r="B46" s="33"/>
      <c r="C46" s="156"/>
      <c r="D46" s="49" t="s">
        <v>57</v>
      </c>
      <c r="E46" s="50" t="s">
        <v>60</v>
      </c>
      <c r="F46" s="50"/>
      <c r="G46" s="51" t="s">
        <v>61</v>
      </c>
      <c r="H46" s="52"/>
      <c r="I46" s="54">
        <v>799</v>
      </c>
      <c r="J46" s="62">
        <f t="shared" si="14"/>
        <v>399.5</v>
      </c>
      <c r="K46" s="102"/>
      <c r="L46" s="112">
        <f t="shared" si="15"/>
        <v>0</v>
      </c>
      <c r="M46" s="39">
        <f t="shared" si="16"/>
        <v>0</v>
      </c>
      <c r="N46" s="31"/>
      <c r="O46" s="31"/>
      <c r="P46" s="31"/>
      <c r="Q46" s="31"/>
    </row>
    <row r="47" spans="1:17" ht="34.950000000000003" customHeight="1" x14ac:dyDescent="0.25">
      <c r="A47" s="32"/>
      <c r="B47" s="33"/>
      <c r="C47" s="156"/>
      <c r="D47" s="49" t="s">
        <v>62</v>
      </c>
      <c r="E47" s="50" t="s">
        <v>63</v>
      </c>
      <c r="F47" s="50"/>
      <c r="G47" s="51" t="s">
        <v>64</v>
      </c>
      <c r="H47" s="52"/>
      <c r="I47" s="54">
        <v>779</v>
      </c>
      <c r="J47" s="62">
        <f t="shared" si="14"/>
        <v>389.5</v>
      </c>
      <c r="K47" s="102"/>
      <c r="L47" s="112">
        <f t="shared" si="15"/>
        <v>0</v>
      </c>
      <c r="M47" s="39">
        <f t="shared" si="16"/>
        <v>0</v>
      </c>
      <c r="N47" s="31"/>
      <c r="O47" s="31"/>
      <c r="P47" s="31"/>
      <c r="Q47" s="31"/>
    </row>
    <row r="48" spans="1:17" ht="34.950000000000003" customHeight="1" x14ac:dyDescent="0.25">
      <c r="A48" s="32"/>
      <c r="B48" s="33"/>
      <c r="C48" s="156"/>
      <c r="D48" s="49" t="s">
        <v>62</v>
      </c>
      <c r="E48" s="50" t="s">
        <v>65</v>
      </c>
      <c r="F48" s="50"/>
      <c r="G48" s="51" t="s">
        <v>66</v>
      </c>
      <c r="H48" s="52"/>
      <c r="I48" s="54">
        <v>779</v>
      </c>
      <c r="J48" s="62">
        <f t="shared" si="14"/>
        <v>389.5</v>
      </c>
      <c r="K48" s="102"/>
      <c r="L48" s="112">
        <f t="shared" si="15"/>
        <v>0</v>
      </c>
      <c r="M48" s="39">
        <f t="shared" si="16"/>
        <v>0</v>
      </c>
      <c r="N48" s="31"/>
      <c r="O48" s="31"/>
      <c r="P48" s="31"/>
      <c r="Q48" s="31"/>
    </row>
    <row r="49" spans="1:17" ht="34.950000000000003" customHeight="1" x14ac:dyDescent="0.25">
      <c r="A49" s="32"/>
      <c r="B49" s="33"/>
      <c r="C49" s="156"/>
      <c r="D49" s="49" t="s">
        <v>67</v>
      </c>
      <c r="E49" s="50" t="s">
        <v>98</v>
      </c>
      <c r="F49" s="50"/>
      <c r="G49" s="51" t="s">
        <v>68</v>
      </c>
      <c r="H49" s="52"/>
      <c r="I49" s="54">
        <v>1099</v>
      </c>
      <c r="J49" s="62">
        <f t="shared" si="14"/>
        <v>549.5</v>
      </c>
      <c r="K49" s="102"/>
      <c r="L49" s="112">
        <f t="shared" si="15"/>
        <v>0</v>
      </c>
      <c r="M49" s="39">
        <f>L49</f>
        <v>0</v>
      </c>
      <c r="N49" s="31"/>
      <c r="O49" s="31"/>
      <c r="P49" s="31"/>
      <c r="Q49" s="31"/>
    </row>
    <row r="50" spans="1:17" ht="34.950000000000003" customHeight="1" x14ac:dyDescent="0.25">
      <c r="A50" s="32"/>
      <c r="B50" s="33"/>
      <c r="C50" s="156"/>
      <c r="D50" s="49" t="s">
        <v>67</v>
      </c>
      <c r="E50" s="50" t="s">
        <v>99</v>
      </c>
      <c r="F50" s="50"/>
      <c r="G50" s="51" t="s">
        <v>69</v>
      </c>
      <c r="H50" s="52"/>
      <c r="I50" s="54">
        <v>1099</v>
      </c>
      <c r="J50" s="62">
        <f t="shared" si="14"/>
        <v>549.5</v>
      </c>
      <c r="K50" s="102"/>
      <c r="L50" s="112">
        <f t="shared" si="15"/>
        <v>0</v>
      </c>
      <c r="M50" s="39">
        <f t="shared" si="16"/>
        <v>0</v>
      </c>
      <c r="N50" s="31"/>
      <c r="O50" s="31"/>
      <c r="P50" s="31"/>
      <c r="Q50" s="31"/>
    </row>
    <row r="51" spans="1:17" ht="34.950000000000003" customHeight="1" x14ac:dyDescent="0.25">
      <c r="A51" s="32"/>
      <c r="B51" s="33"/>
      <c r="C51" s="156"/>
      <c r="D51" s="49" t="s">
        <v>100</v>
      </c>
      <c r="E51" s="50" t="s">
        <v>101</v>
      </c>
      <c r="F51" s="50"/>
      <c r="G51" s="51" t="s">
        <v>102</v>
      </c>
      <c r="H51" s="52"/>
      <c r="I51" s="54">
        <v>699</v>
      </c>
      <c r="J51" s="62">
        <f t="shared" si="14"/>
        <v>349.5</v>
      </c>
      <c r="K51" s="102"/>
      <c r="L51" s="112">
        <f t="shared" si="15"/>
        <v>0</v>
      </c>
      <c r="M51" s="39">
        <f t="shared" si="16"/>
        <v>0</v>
      </c>
      <c r="N51" s="31"/>
      <c r="O51" s="31"/>
      <c r="P51" s="31"/>
      <c r="Q51" s="31"/>
    </row>
    <row r="52" spans="1:17" ht="34.950000000000003" customHeight="1" thickBot="1" x14ac:dyDescent="0.3">
      <c r="A52" s="32"/>
      <c r="B52" s="33"/>
      <c r="C52" s="157"/>
      <c r="D52" s="42" t="s">
        <v>100</v>
      </c>
      <c r="E52" s="43" t="s">
        <v>103</v>
      </c>
      <c r="F52" s="43"/>
      <c r="G52" s="44" t="s">
        <v>104</v>
      </c>
      <c r="H52" s="45"/>
      <c r="I52" s="63">
        <v>699</v>
      </c>
      <c r="J52" s="63">
        <f t="shared" ref="J52:J61" si="17">I52/2</f>
        <v>349.5</v>
      </c>
      <c r="K52" s="101"/>
      <c r="L52" s="113">
        <f t="shared" ref="L52:L61" si="18">J52*K52</f>
        <v>0</v>
      </c>
      <c r="M52" s="48">
        <f>L52</f>
        <v>0</v>
      </c>
      <c r="N52" s="31"/>
      <c r="O52" s="31"/>
      <c r="P52" s="31"/>
      <c r="Q52" s="31"/>
    </row>
    <row r="53" spans="1:17" ht="34.950000000000003" customHeight="1" x14ac:dyDescent="0.25">
      <c r="A53" s="32"/>
      <c r="B53" s="33"/>
      <c r="C53" s="160" t="s">
        <v>105</v>
      </c>
      <c r="D53" s="64" t="s">
        <v>106</v>
      </c>
      <c r="E53" s="65" t="s">
        <v>107</v>
      </c>
      <c r="F53" s="65"/>
      <c r="G53" s="66" t="s">
        <v>108</v>
      </c>
      <c r="H53" s="67"/>
      <c r="I53" s="69">
        <v>599</v>
      </c>
      <c r="J53" s="69">
        <f t="shared" si="17"/>
        <v>299.5</v>
      </c>
      <c r="K53" s="104"/>
      <c r="L53" s="130">
        <f t="shared" si="18"/>
        <v>0</v>
      </c>
      <c r="M53" s="131">
        <f>L53</f>
        <v>0</v>
      </c>
      <c r="N53" s="31"/>
      <c r="O53" s="31"/>
      <c r="P53" s="31"/>
      <c r="Q53" s="31"/>
    </row>
    <row r="54" spans="1:17" ht="34.950000000000003" customHeight="1" thickBot="1" x14ac:dyDescent="0.3">
      <c r="A54" s="32"/>
      <c r="B54" s="33"/>
      <c r="C54" s="161"/>
      <c r="D54" s="122" t="s">
        <v>106</v>
      </c>
      <c r="E54" s="123" t="s">
        <v>109</v>
      </c>
      <c r="F54" s="123"/>
      <c r="G54" s="124" t="s">
        <v>110</v>
      </c>
      <c r="H54" s="125"/>
      <c r="I54" s="126">
        <v>599</v>
      </c>
      <c r="J54" s="126">
        <f t="shared" si="17"/>
        <v>299.5</v>
      </c>
      <c r="K54" s="127"/>
      <c r="L54" s="129">
        <f t="shared" si="18"/>
        <v>0</v>
      </c>
      <c r="M54" s="48">
        <f>L54</f>
        <v>0</v>
      </c>
      <c r="N54" s="31"/>
      <c r="O54" s="31"/>
      <c r="P54" s="31"/>
      <c r="Q54" s="31"/>
    </row>
    <row r="55" spans="1:17" ht="34.950000000000003" customHeight="1" x14ac:dyDescent="0.25">
      <c r="A55" s="32"/>
      <c r="B55" s="33"/>
      <c r="C55" s="158" t="s">
        <v>26</v>
      </c>
      <c r="D55" s="64" t="s">
        <v>70</v>
      </c>
      <c r="E55" s="65" t="s">
        <v>71</v>
      </c>
      <c r="F55" s="65"/>
      <c r="G55" s="66" t="s">
        <v>72</v>
      </c>
      <c r="H55" s="67"/>
      <c r="I55" s="68">
        <v>98</v>
      </c>
      <c r="J55" s="69">
        <f t="shared" si="17"/>
        <v>49</v>
      </c>
      <c r="K55" s="104"/>
      <c r="L55" s="68">
        <f t="shared" si="18"/>
        <v>0</v>
      </c>
      <c r="M55" s="39" t="s">
        <v>25</v>
      </c>
      <c r="N55" s="31"/>
      <c r="O55" s="31"/>
      <c r="P55" s="31"/>
      <c r="Q55" s="31"/>
    </row>
    <row r="56" spans="1:17" ht="34.950000000000003" customHeight="1" x14ac:dyDescent="0.25">
      <c r="A56" s="32"/>
      <c r="B56" s="33"/>
      <c r="C56" s="159"/>
      <c r="D56" s="49" t="s">
        <v>2</v>
      </c>
      <c r="E56" s="50" t="s">
        <v>12</v>
      </c>
      <c r="F56" s="50"/>
      <c r="G56" s="51" t="s">
        <v>11</v>
      </c>
      <c r="H56" s="52"/>
      <c r="I56" s="117">
        <v>88</v>
      </c>
      <c r="J56" s="62">
        <f t="shared" si="17"/>
        <v>44</v>
      </c>
      <c r="K56" s="102"/>
      <c r="L56" s="117">
        <f t="shared" si="18"/>
        <v>0</v>
      </c>
      <c r="M56" s="39" t="s">
        <v>25</v>
      </c>
      <c r="N56" s="31"/>
      <c r="O56" s="31"/>
      <c r="P56" s="31"/>
      <c r="Q56" s="31"/>
    </row>
    <row r="57" spans="1:17" ht="34.950000000000003" customHeight="1" x14ac:dyDescent="0.25">
      <c r="A57" s="32"/>
      <c r="B57" s="33"/>
      <c r="C57" s="159"/>
      <c r="D57" s="49" t="s">
        <v>2</v>
      </c>
      <c r="E57" s="50" t="s">
        <v>114</v>
      </c>
      <c r="F57" s="50"/>
      <c r="G57" s="51" t="s">
        <v>115</v>
      </c>
      <c r="H57" s="52"/>
      <c r="I57" s="117">
        <v>38</v>
      </c>
      <c r="J57" s="62">
        <f t="shared" ref="J57" si="19">I57/2</f>
        <v>19</v>
      </c>
      <c r="K57" s="102"/>
      <c r="L57" s="117">
        <f t="shared" ref="L57" si="20">J57*K57</f>
        <v>0</v>
      </c>
      <c r="M57" s="39" t="s">
        <v>25</v>
      </c>
      <c r="N57" s="31"/>
      <c r="O57" s="31"/>
      <c r="P57" s="31"/>
      <c r="Q57" s="31"/>
    </row>
    <row r="58" spans="1:17" ht="34.950000000000003" customHeight="1" x14ac:dyDescent="0.25">
      <c r="A58" s="32"/>
      <c r="B58" s="33"/>
      <c r="C58" s="159"/>
      <c r="D58" s="34" t="s">
        <v>2</v>
      </c>
      <c r="E58" s="35" t="s">
        <v>3</v>
      </c>
      <c r="F58" s="35"/>
      <c r="G58" s="36" t="s">
        <v>18</v>
      </c>
      <c r="H58" s="37"/>
      <c r="I58" s="71">
        <v>28</v>
      </c>
      <c r="J58" s="38">
        <f t="shared" si="17"/>
        <v>14</v>
      </c>
      <c r="K58" s="100"/>
      <c r="L58" s="71">
        <f t="shared" si="18"/>
        <v>0</v>
      </c>
      <c r="M58" s="39" t="s">
        <v>25</v>
      </c>
      <c r="N58" s="31"/>
      <c r="O58" s="31"/>
      <c r="P58" s="31"/>
      <c r="Q58" s="31"/>
    </row>
    <row r="59" spans="1:17" ht="34.950000000000003" customHeight="1" x14ac:dyDescent="0.25">
      <c r="A59" s="32"/>
      <c r="B59" s="33"/>
      <c r="C59" s="159"/>
      <c r="D59" s="34" t="s">
        <v>2</v>
      </c>
      <c r="E59" s="35" t="s">
        <v>116</v>
      </c>
      <c r="F59" s="35"/>
      <c r="G59" s="36" t="s">
        <v>117</v>
      </c>
      <c r="H59" s="37"/>
      <c r="I59" s="71">
        <v>48</v>
      </c>
      <c r="J59" s="38">
        <v>24</v>
      </c>
      <c r="K59" s="100"/>
      <c r="L59" s="71">
        <f t="shared" ref="L59" si="21">J59*K59</f>
        <v>0</v>
      </c>
      <c r="M59" s="39" t="s">
        <v>25</v>
      </c>
      <c r="N59" s="31"/>
      <c r="O59" s="31"/>
      <c r="P59" s="31"/>
      <c r="Q59" s="31"/>
    </row>
    <row r="60" spans="1:17" ht="34.950000000000003" customHeight="1" x14ac:dyDescent="0.25">
      <c r="A60" s="32"/>
      <c r="B60" s="33"/>
      <c r="C60" s="159"/>
      <c r="D60" s="34" t="s">
        <v>2</v>
      </c>
      <c r="E60" s="132" t="s">
        <v>118</v>
      </c>
      <c r="F60" s="35"/>
      <c r="G60" s="36" t="s">
        <v>119</v>
      </c>
      <c r="H60" s="37"/>
      <c r="I60" s="71">
        <v>124</v>
      </c>
      <c r="J60" s="38">
        <v>62</v>
      </c>
      <c r="K60" s="100"/>
      <c r="L60" s="71">
        <f t="shared" ref="L60" si="22">J60*K60</f>
        <v>0</v>
      </c>
      <c r="M60" s="39" t="s">
        <v>25</v>
      </c>
      <c r="N60" s="31"/>
      <c r="O60" s="31"/>
      <c r="P60" s="31"/>
      <c r="Q60" s="31"/>
    </row>
    <row r="61" spans="1:17" ht="34.950000000000003" customHeight="1" x14ac:dyDescent="0.25">
      <c r="A61" s="32"/>
      <c r="B61" s="33"/>
      <c r="C61" s="159"/>
      <c r="D61" s="34" t="s">
        <v>2</v>
      </c>
      <c r="E61" s="35" t="s">
        <v>30</v>
      </c>
      <c r="F61" s="35"/>
      <c r="G61" s="36" t="s">
        <v>31</v>
      </c>
      <c r="H61" s="37"/>
      <c r="I61" s="71">
        <v>88</v>
      </c>
      <c r="J61" s="38">
        <f t="shared" si="17"/>
        <v>44</v>
      </c>
      <c r="K61" s="100"/>
      <c r="L61" s="71">
        <f t="shared" si="18"/>
        <v>0</v>
      </c>
      <c r="M61" s="39" t="s">
        <v>25</v>
      </c>
      <c r="N61" s="31"/>
      <c r="O61" s="31"/>
      <c r="P61" s="31"/>
      <c r="Q61" s="31"/>
    </row>
    <row r="62" spans="1:17" ht="34.950000000000003" customHeight="1" x14ac:dyDescent="0.25">
      <c r="A62" s="32"/>
      <c r="B62" s="33"/>
      <c r="C62" s="159"/>
      <c r="D62" s="114" t="s">
        <v>100</v>
      </c>
      <c r="E62" s="115" t="s">
        <v>120</v>
      </c>
      <c r="F62" s="115"/>
      <c r="G62" s="116" t="s">
        <v>121</v>
      </c>
      <c r="H62" s="37"/>
      <c r="I62" s="71">
        <v>79</v>
      </c>
      <c r="J62" s="38">
        <v>39.5</v>
      </c>
      <c r="K62" s="100"/>
      <c r="L62" s="71">
        <f t="shared" ref="L62" si="23">J62*K62</f>
        <v>0</v>
      </c>
      <c r="M62" s="39" t="s">
        <v>25</v>
      </c>
      <c r="N62" s="31"/>
      <c r="O62" s="31"/>
      <c r="P62" s="31"/>
      <c r="Q62" s="31"/>
    </row>
    <row r="63" spans="1:17" ht="34.950000000000003" customHeight="1" x14ac:dyDescent="0.25">
      <c r="A63" s="32"/>
      <c r="B63" s="33"/>
      <c r="C63" s="159"/>
      <c r="D63" s="114" t="s">
        <v>67</v>
      </c>
      <c r="E63" s="115" t="s">
        <v>122</v>
      </c>
      <c r="F63" s="115"/>
      <c r="G63" s="116" t="s">
        <v>123</v>
      </c>
      <c r="H63" s="37"/>
      <c r="I63" s="71">
        <v>79</v>
      </c>
      <c r="J63" s="38">
        <v>39.5</v>
      </c>
      <c r="K63" s="100"/>
      <c r="L63" s="71">
        <f t="shared" ref="L63" si="24">J63*K63</f>
        <v>0</v>
      </c>
      <c r="M63" s="39" t="s">
        <v>25</v>
      </c>
      <c r="N63" s="31"/>
      <c r="O63" s="31"/>
      <c r="P63" s="31"/>
      <c r="Q63" s="31"/>
    </row>
    <row r="64" spans="1:17" ht="34.950000000000003" customHeight="1" thickBot="1" x14ac:dyDescent="0.3">
      <c r="A64" s="70"/>
      <c r="B64" s="33"/>
      <c r="C64" s="159"/>
      <c r="D64" s="42" t="s">
        <v>67</v>
      </c>
      <c r="E64" s="107" t="s">
        <v>124</v>
      </c>
      <c r="F64" s="43"/>
      <c r="G64" s="44" t="s">
        <v>125</v>
      </c>
      <c r="H64" s="37"/>
      <c r="I64" s="71">
        <v>79</v>
      </c>
      <c r="J64" s="38">
        <f t="shared" ref="J64" si="25">I64/2</f>
        <v>39.5</v>
      </c>
      <c r="K64" s="105"/>
      <c r="L64" s="71">
        <f t="shared" ref="L64" si="26">J64*K64</f>
        <v>0</v>
      </c>
      <c r="M64" s="39" t="s">
        <v>25</v>
      </c>
      <c r="N64" s="72"/>
      <c r="O64" s="72"/>
      <c r="P64" s="72"/>
      <c r="Q64" s="72"/>
    </row>
    <row r="65" spans="1:17" ht="34.950000000000003" customHeight="1" thickBot="1" x14ac:dyDescent="0.3">
      <c r="A65" s="32"/>
      <c r="B65" s="33"/>
      <c r="C65" s="106"/>
      <c r="D65" s="106"/>
      <c r="E65" s="106"/>
      <c r="F65" s="106"/>
      <c r="G65" s="106"/>
      <c r="H65" s="73"/>
      <c r="I65" s="74"/>
      <c r="J65" s="75"/>
      <c r="K65" s="76">
        <f>SUM(K21:K64)</f>
        <v>0</v>
      </c>
      <c r="L65" s="133">
        <f>SUM(L21:L64)</f>
        <v>0</v>
      </c>
      <c r="M65" s="77">
        <f>SUM(M23:M38,M44:M54)</f>
        <v>0</v>
      </c>
      <c r="N65" s="32"/>
      <c r="O65" s="32"/>
      <c r="P65" s="32"/>
      <c r="Q65" s="32"/>
    </row>
    <row r="66" spans="1:17" ht="34.950000000000003" customHeight="1" x14ac:dyDescent="0.25">
      <c r="A66" s="32"/>
      <c r="B66" s="98"/>
      <c r="C66" s="99"/>
      <c r="D66" s="98"/>
      <c r="E66" s="98"/>
      <c r="F66" s="134"/>
      <c r="G66" s="134"/>
      <c r="H66" s="78"/>
      <c r="I66" s="79"/>
      <c r="J66" s="79"/>
      <c r="K66" s="80"/>
      <c r="L66" s="81"/>
      <c r="M66" s="3"/>
      <c r="N66" s="32"/>
      <c r="O66" s="32"/>
      <c r="P66" s="32"/>
      <c r="Q66" s="32"/>
    </row>
    <row r="67" spans="1:17" x14ac:dyDescent="0.5">
      <c r="A67" s="32"/>
      <c r="B67" s="32"/>
      <c r="N67" s="32"/>
      <c r="O67" s="32"/>
      <c r="P67" s="32"/>
      <c r="Q67" s="32"/>
    </row>
  </sheetData>
  <sheetProtection password="8937" sheet="1" objects="1" scenarios="1" selectLockedCells="1"/>
  <sortState ref="D35:L45">
    <sortCondition ref="D35:D45"/>
  </sortState>
  <mergeCells count="15">
    <mergeCell ref="B2:I3"/>
    <mergeCell ref="B20:H20"/>
    <mergeCell ref="I8:J9"/>
    <mergeCell ref="I12:J12"/>
    <mergeCell ref="K12:L12"/>
    <mergeCell ref="F66:G66"/>
    <mergeCell ref="K8:L9"/>
    <mergeCell ref="I10:J11"/>
    <mergeCell ref="K10:L11"/>
    <mergeCell ref="C21:C30"/>
    <mergeCell ref="C31:C38"/>
    <mergeCell ref="B8:G11"/>
    <mergeCell ref="C39:C52"/>
    <mergeCell ref="C55:C64"/>
    <mergeCell ref="C53:C54"/>
  </mergeCells>
  <phoneticPr fontId="4" type="noConversion"/>
  <dataValidations count="1">
    <dataValidation type="list" allowBlank="1" showInputMessage="1" showErrorMessage="1" sqref="B8:G11">
      <formula1>"Please Select Your Collection Address,DOPL,WESTPARK"</formula1>
    </dataValidation>
  </dataValidations>
  <printOptions horizontalCentered="1" verticalCentered="1"/>
  <pageMargins left="0" right="0" top="0.15748031496063" bottom="0.15748031496063" header="0" footer="0"/>
  <pageSetup paperSize="9" scale="37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name">
                <anchor moveWithCells="1" sizeWithCells="1">
                  <from>
                    <xdr:col>10</xdr:col>
                    <xdr:colOff>160020</xdr:colOff>
                    <xdr:row>13</xdr:row>
                    <xdr:rowOff>0</xdr:rowOff>
                  </from>
                  <to>
                    <xdr:col>11</xdr:col>
                    <xdr:colOff>1775460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min">
                <anchor moveWithCells="1" sizeWithCells="1">
                  <from>
                    <xdr:col>10</xdr:col>
                    <xdr:colOff>1173480</xdr:colOff>
                    <xdr:row>4</xdr:row>
                    <xdr:rowOff>0</xdr:rowOff>
                  </from>
                  <to>
                    <xdr:col>11</xdr:col>
                    <xdr:colOff>1775460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PO Form</vt:lpstr>
      <vt:lpstr>'PO Form'!Print_Area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Lina Tan</dc:creator>
  <cp:lastModifiedBy>Siti Bte Ahmad</cp:lastModifiedBy>
  <cp:lastPrinted>2014-05-26T06:26:30Z</cp:lastPrinted>
  <dcterms:created xsi:type="dcterms:W3CDTF">2009-05-26T04:34:36Z</dcterms:created>
  <dcterms:modified xsi:type="dcterms:W3CDTF">2016-11-09T07:49:19Z</dcterms:modified>
</cp:coreProperties>
</file>